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filterPrivacy="1"/>
  <xr:revisionPtr revIDLastSave="0" documentId="13_ncr:1_{F36EAE9E-1580-4670-84B0-F4F53F6AC15B}" xr6:coauthVersionLast="36" xr6:coauthVersionMax="36" xr10:uidLastSave="{00000000-0000-0000-0000-000000000000}"/>
  <bookViews>
    <workbookView xWindow="0" yWindow="0" windowWidth="22260" windowHeight="12645" firstSheet="2" activeTab="2" xr2:uid="{00000000-000D-0000-FFFF-FFFF00000000}"/>
  </bookViews>
  <sheets>
    <sheet name="手工登记跟踪表" sheetId="1" state="hidden" r:id="rId1"/>
    <sheet name="系统跟踪表改善" sheetId="2" state="hidden" r:id="rId2"/>
    <sheet name="小盒站点系统改善" sheetId="3" r:id="rId3"/>
    <sheet name="Sheet1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H4" i="1"/>
</calcChain>
</file>

<file path=xl/sharedStrings.xml><?xml version="1.0" encoding="utf-8"?>
<sst xmlns="http://schemas.openxmlformats.org/spreadsheetml/2006/main" count="31" uniqueCount="26">
  <si>
    <t>金线未达标跟踪记录表</t>
    <phoneticPr fontId="1" type="noConversion"/>
  </si>
  <si>
    <t>日期</t>
    <phoneticPr fontId="1" type="noConversion"/>
  </si>
  <si>
    <t>班别</t>
    <phoneticPr fontId="1" type="noConversion"/>
  </si>
  <si>
    <t>金线编号</t>
    <phoneticPr fontId="1" type="noConversion"/>
  </si>
  <si>
    <t>WB机台号</t>
    <phoneticPr fontId="1" type="noConversion"/>
  </si>
  <si>
    <t>生产型号</t>
    <phoneticPr fontId="1" type="noConversion"/>
  </si>
  <si>
    <t>BOM产能</t>
    <phoneticPr fontId="1" type="noConversion"/>
  </si>
  <si>
    <t>实际产能</t>
    <phoneticPr fontId="1" type="noConversion"/>
  </si>
  <si>
    <t>金线达成率（%）</t>
    <phoneticPr fontId="1" type="noConversion"/>
  </si>
  <si>
    <t>未达标原因备注</t>
    <phoneticPr fontId="1" type="noConversion"/>
  </si>
  <si>
    <t>改善后更换金线编号</t>
    <phoneticPr fontId="1" type="noConversion"/>
  </si>
  <si>
    <t>分析责任工程师</t>
    <phoneticPr fontId="1" type="noConversion"/>
  </si>
  <si>
    <t>跟踪状态</t>
    <phoneticPr fontId="1" type="noConversion"/>
  </si>
  <si>
    <t>B</t>
    <phoneticPr fontId="1" type="noConversion"/>
  </si>
  <si>
    <t>姚风军</t>
    <phoneticPr fontId="1" type="noConversion"/>
  </si>
  <si>
    <r>
      <t>一、MES系统当该卷金线达成率低于97%时，需要主管注明原因和结束</t>
    </r>
    <r>
      <rPr>
        <sz val="11"/>
        <color rgb="FFFF0000"/>
        <rFont val="微软雅黑"/>
        <family val="2"/>
        <charset val="134"/>
      </rPr>
      <t>，同时新增对话框“输入改善后金线批次”（如下图红色方框为新增功能）</t>
    </r>
    <phoneticPr fontId="1" type="noConversion"/>
  </si>
  <si>
    <r>
      <t>二、金线汇总表抓取如上MES系统输入的金线批次号，并将改善后的金线批次号备注到未达成的这卷金线后面，</t>
    </r>
    <r>
      <rPr>
        <b/>
        <sz val="11"/>
        <color rgb="FFFF0000"/>
        <rFont val="微软雅黑"/>
        <family val="2"/>
        <charset val="134"/>
      </rPr>
      <t>并显示改善后金线的达成率和链接相关具体信息；（具体如下）</t>
    </r>
    <phoneticPr fontId="1" type="noConversion"/>
  </si>
  <si>
    <t>C25Z0819061</t>
  </si>
  <si>
    <t>CWDB027</t>
  </si>
  <si>
    <t>GC16B3C-MAFD0</t>
  </si>
  <si>
    <t>优化EFO参数，单耗0.047---&gt;0.045，符合BOM</t>
    <phoneticPr fontId="1" type="noConversion"/>
  </si>
  <si>
    <t>C2620586081</t>
  </si>
  <si>
    <t>CLOSE</t>
    <phoneticPr fontId="1" type="noConversion"/>
  </si>
  <si>
    <t>一、盒包装站点，务必需输入批次后方可显示信息（目前是输入型号、工单号、等级按查询即可）；</t>
    <phoneticPr fontId="1" type="noConversion"/>
  </si>
  <si>
    <t>零头标签模版</t>
    <phoneticPr fontId="1" type="noConversion"/>
  </si>
  <si>
    <t>一、盒包装站点，批次号输入后显示批次信息和数量，点击包装后，系统按该批次的数量自动生成对应的小盒号和零头标签；（零头标签模版如下）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</si>
</sst>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14" fontId="2" fillId="2" borderId="1" xfId="0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7" fillId="2" borderId="0" xfId="0" applyFont="1" applyFill="1"/>
    <xf numFmtId="0" fontId="3" fillId="2" borderId="1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188250</xdr:colOff>
      <xdr:row>2</xdr:row>
      <xdr:rowOff>85725</xdr:rowOff>
    </xdr:from>
    <xdr:to>
      <xdr:col>10</xdr:col>
      <xdr:colOff>570152</xdr:colOff>
      <xdr:row>25</xdr:row>
      <xdr:rowOff>9525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89B544D-5D53-41F1-8F20-DF560656D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50" y="447675"/>
          <a:ext cx="7239902" cy="40862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85724</xdr:colOff>
      <xdr:row>18</xdr:row>
      <xdr:rowOff>161925</xdr:rowOff>
    </xdr:from>
    <xdr:to>
      <xdr:col>5</xdr:col>
      <xdr:colOff>552449</xdr:colOff>
      <xdr:row>25</xdr:row>
      <xdr:rowOff>57150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8CE7E50-EC42-4DF4-9AE4-5BBE2F2F4FF1}"/>
            </a:ext>
          </a:extLst>
        </xdr:cNvPr>
        <xdr:cNvSpPr/>
      </xdr:nvSpPr>
      <xdr:spPr>
        <a:xfrm>
          <a:off x="1457324" y="3419475"/>
          <a:ext cx="2524125" cy="116205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209550</xdr:colOff>
      <xdr:row>19</xdr:row>
      <xdr:rowOff>85725</xdr:rowOff>
    </xdr:from>
    <xdr:to>
      <xdr:col>5</xdr:col>
      <xdr:colOff>400050</xdr:colOff>
      <xdr:row>21</xdr:row>
      <xdr:rowOff>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F978179-6E9A-4A09-9D1C-D023CD4780DF}"/>
            </a:ext>
          </a:extLst>
        </xdr:cNvPr>
        <xdr:cNvSpPr/>
      </xdr:nvSpPr>
      <xdr:spPr>
        <a:xfrm>
          <a:off x="1581150" y="3524250"/>
          <a:ext cx="2247900" cy="276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   </a:t>
          </a:r>
          <a:r>
            <a:rPr lang="zh-CN" altLang="en-US" sz="1100" b="1"/>
            <a:t>请输入改善后金线批次编号</a:t>
          </a:r>
        </a:p>
      </xdr:txBody>
    </xdr:sp>
    <xdr:clientData/>
  </xdr:twoCellAnchor>
  <xdr:twoCellAnchor>
    <xdr:from>
      <xdr:col>2</xdr:col>
      <xdr:colOff>304800</xdr:colOff>
      <xdr:row>21</xdr:row>
      <xdr:rowOff>123825</xdr:rowOff>
    </xdr:from>
    <xdr:to>
      <xdr:col>5</xdr:col>
      <xdr:colOff>314325</xdr:colOff>
      <xdr:row>23</xdr:row>
      <xdr:rowOff>142875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0867969-F36C-4DB2-9672-0D79AABB2D0E}"/>
            </a:ext>
          </a:extLst>
        </xdr:cNvPr>
        <xdr:cNvSpPr/>
      </xdr:nvSpPr>
      <xdr:spPr>
        <a:xfrm>
          <a:off x="1676400" y="3924300"/>
          <a:ext cx="2066925" cy="381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361950</xdr:colOff>
      <xdr:row>18</xdr:row>
      <xdr:rowOff>57150</xdr:rowOff>
    </xdr:from>
    <xdr:to>
      <xdr:col>6</xdr:col>
      <xdr:colOff>533400</xdr:colOff>
      <xdr:row>26</xdr:row>
      <xdr:rowOff>38100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BAEF829-B837-4FAC-9959-181D19C28C6D}"/>
            </a:ext>
          </a:extLst>
        </xdr:cNvPr>
        <xdr:cNvSpPr/>
      </xdr:nvSpPr>
      <xdr:spPr>
        <a:xfrm>
          <a:off x="1047750" y="3314700"/>
          <a:ext cx="3600450" cy="14287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28</xdr:row>
      <xdr:rowOff>76200</xdr:rowOff>
    </xdr:from>
    <xdr:to>
      <xdr:col>22</xdr:col>
      <xdr:colOff>360019</xdr:colOff>
      <xdr:row>45</xdr:row>
      <xdr:rowOff>161530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F1892F6-5CB3-418B-A7FD-07D2287C3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43500"/>
          <a:ext cx="15447619" cy="3161905"/>
        </a:xfrm>
        <a:prstGeom prst="rect">
          <a:avLst/>
        </a:prstGeom>
      </xdr:spPr>
    </xdr:pic>
    <xdr:clientData/>
  </xdr:twoCellAnchor>
  <xdr:twoCellAnchor>
    <xdr:from>
      <xdr:col>7</xdr:col>
      <xdr:colOff>552450</xdr:colOff>
      <xdr:row>20</xdr:row>
      <xdr:rowOff>114300</xdr:rowOff>
    </xdr:from>
    <xdr:to>
      <xdr:col>10</xdr:col>
      <xdr:colOff>495299</xdr:colOff>
      <xdr:row>24</xdr:row>
      <xdr:rowOff>19050</xdr:rowOff>
    </xdr:to>
    <xdr:sp macro="" textlink="">
      <xdr:nvSpPr>
        <xdr:cNvPr id="8" name="对话气泡: 矩形 7">
          <a:extLst>
            <a:ext uri="{FF2B5EF4-FFF2-40B4-BE49-F238E27FC236}">
              <a16:creationId xmlns:a16="http://schemas.microsoft.com/office/drawing/2014/main" id="{6F639711-CECF-415C-B70D-040A9DD41903}"/>
            </a:ext>
          </a:extLst>
        </xdr:cNvPr>
        <xdr:cNvSpPr/>
      </xdr:nvSpPr>
      <xdr:spPr>
        <a:xfrm>
          <a:off x="5353050" y="3733800"/>
          <a:ext cx="2000249" cy="628650"/>
        </a:xfrm>
        <a:prstGeom prst="wedgeRectCallout">
          <a:avLst>
            <a:gd name="adj1" fmla="val -116980"/>
            <a:gd name="adj2" fmla="val 1098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ln w="12700">
                <a:solidFill>
                  <a:srgbClr val="FF0000"/>
                </a:solidFill>
              </a:ln>
            </a:rPr>
            <a:t>低于</a:t>
          </a:r>
          <a:r>
            <a:rPr lang="en-US" altLang="zh-CN" sz="1100">
              <a:ln w="12700">
                <a:solidFill>
                  <a:srgbClr val="FF0000"/>
                </a:solidFill>
              </a:ln>
            </a:rPr>
            <a:t>97%</a:t>
          </a:r>
          <a:r>
            <a:rPr lang="zh-CN" altLang="en-US" sz="1100">
              <a:ln w="12700">
                <a:solidFill>
                  <a:srgbClr val="FF0000"/>
                </a:solidFill>
              </a:ln>
            </a:rPr>
            <a:t>跳出该对话框，高于</a:t>
          </a:r>
          <a:r>
            <a:rPr lang="en-US" altLang="zh-CN" sz="1100">
              <a:ln w="12700">
                <a:solidFill>
                  <a:srgbClr val="FF0000"/>
                </a:solidFill>
              </a:ln>
            </a:rPr>
            <a:t>97%</a:t>
          </a:r>
          <a:r>
            <a:rPr lang="zh-CN" altLang="en-US" sz="1100">
              <a:ln w="12700">
                <a:solidFill>
                  <a:srgbClr val="FF0000"/>
                </a:solidFill>
              </a:ln>
            </a:rPr>
            <a:t>不需要跳出</a:t>
          </a:r>
        </a:p>
      </xdr:txBody>
    </xdr:sp>
    <xdr:clientData/>
  </xdr:twoCellAnchor>
  <xdr:twoCellAnchor editAs="oneCell">
    <xdr:from>
      <xdr:col>0</xdr:col>
      <xdr:colOff>400050</xdr:colOff>
      <xdr:row>50</xdr:row>
      <xdr:rowOff>114300</xdr:rowOff>
    </xdr:from>
    <xdr:to>
      <xdr:col>24</xdr:col>
      <xdr:colOff>409575</xdr:colOff>
      <xdr:row>99</xdr:row>
      <xdr:rowOff>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386F7F1-79F2-4673-B1EA-14CB8946A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220200"/>
          <a:ext cx="16468725" cy="875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35638</xdr:rowOff>
    </xdr:from>
    <xdr:to>
      <xdr:col>13</xdr:col>
      <xdr:colOff>266700</xdr:colOff>
      <xdr:row>24</xdr:row>
      <xdr:rowOff>95250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012BFA0-84C3-4885-8A70-86DFDF0AD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45863"/>
          <a:ext cx="9182100" cy="367911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28</xdr:row>
      <xdr:rowOff>123825</xdr:rowOff>
    </xdr:from>
    <xdr:to>
      <xdr:col>17</xdr:col>
      <xdr:colOff>131876</xdr:colOff>
      <xdr:row>69</xdr:row>
      <xdr:rowOff>132421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C213A17-1366-443A-BFC5-52110475D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6500"/>
          <a:ext cx="11790476" cy="74285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13</xdr:col>
      <xdr:colOff>302551</xdr:colOff>
      <xdr:row>27</xdr:row>
      <xdr:rowOff>60214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711AC6C-70FB-4EBF-91E8-D2B1A91B9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9217951" cy="4584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>
      <selection activeCell="D26" sqref="D26"/>
    </sheetView>
  </sheetViews>
  <sheetFormatPr defaultRowHeight="16.5" x14ac:dyDescent="0.3"/>
  <cols>
    <col min="1" max="1" width="11.25" style="1" bestFit="1" customWidth="1"/>
    <col min="2" max="2" width="9" style="1"/>
    <col min="3" max="3" width="23.875" style="1" customWidth="1"/>
    <col min="4" max="4" width="14.5" style="1" customWidth="1"/>
    <col min="5" max="5" width="18" style="1" bestFit="1" customWidth="1"/>
    <col min="6" max="7" width="14.875" style="1" customWidth="1"/>
    <col min="8" max="8" width="16.25" style="1" bestFit="1" customWidth="1"/>
    <col min="9" max="9" width="33" style="1" customWidth="1"/>
    <col min="10" max="10" width="15.125" style="1" customWidth="1"/>
    <col min="11" max="11" width="19.25" style="1" bestFit="1" customWidth="1"/>
    <col min="12" max="12" width="19.25" style="1" customWidth="1"/>
    <col min="13" max="13" width="11.75" style="1" customWidth="1"/>
    <col min="14" max="14" width="12.25" style="1" customWidth="1"/>
    <col min="15" max="15" width="16.25" style="1" bestFit="1" customWidth="1"/>
    <col min="16" max="16384" width="9" style="1"/>
  </cols>
  <sheetData>
    <row r="1" spans="1:16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33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11</v>
      </c>
      <c r="K3" s="2" t="s">
        <v>10</v>
      </c>
      <c r="L3" s="2" t="s">
        <v>5</v>
      </c>
      <c r="M3" s="2" t="s">
        <v>6</v>
      </c>
      <c r="N3" s="2" t="s">
        <v>7</v>
      </c>
      <c r="O3" s="2" t="s">
        <v>8</v>
      </c>
      <c r="P3" s="2" t="s">
        <v>12</v>
      </c>
    </row>
    <row r="4" spans="1:16" ht="33" x14ac:dyDescent="0.3">
      <c r="A4" s="4">
        <v>46083</v>
      </c>
      <c r="B4" s="2" t="s">
        <v>13</v>
      </c>
      <c r="C4" s="2" t="s">
        <v>17</v>
      </c>
      <c r="D4" s="2" t="s">
        <v>18</v>
      </c>
      <c r="E4" s="2" t="s">
        <v>19</v>
      </c>
      <c r="F4" s="2">
        <v>22075</v>
      </c>
      <c r="G4" s="2">
        <v>21330</v>
      </c>
      <c r="H4" s="6">
        <f>G4/F4</f>
        <v>0.96625141562853911</v>
      </c>
      <c r="I4" s="7" t="s">
        <v>20</v>
      </c>
      <c r="J4" s="2" t="s">
        <v>14</v>
      </c>
      <c r="K4" s="2" t="s">
        <v>21</v>
      </c>
      <c r="L4" s="2" t="s">
        <v>19</v>
      </c>
      <c r="M4" s="2">
        <v>22075</v>
      </c>
      <c r="N4" s="2">
        <v>22109</v>
      </c>
      <c r="O4" s="6">
        <f>N4/M4</f>
        <v>1.0015402038505097</v>
      </c>
      <c r="P4" s="8" t="s">
        <v>22</v>
      </c>
    </row>
    <row r="5" spans="1:16" x14ac:dyDescent="0.3">
      <c r="A5" s="2"/>
      <c r="B5" s="2"/>
      <c r="C5" s="2"/>
      <c r="D5" s="2"/>
      <c r="E5" s="2"/>
      <c r="F5" s="2"/>
      <c r="G5" s="2"/>
      <c r="H5" s="6"/>
      <c r="I5" s="2"/>
      <c r="J5" s="2"/>
      <c r="K5" s="2"/>
      <c r="L5" s="2"/>
      <c r="M5" s="2"/>
      <c r="N5" s="2"/>
      <c r="O5" s="5"/>
      <c r="P5" s="2"/>
    </row>
    <row r="6" spans="1:16" x14ac:dyDescent="0.3">
      <c r="A6" s="2"/>
      <c r="B6" s="2"/>
      <c r="C6" s="2"/>
      <c r="D6" s="2"/>
      <c r="E6" s="2"/>
      <c r="F6" s="2"/>
      <c r="G6" s="2"/>
      <c r="H6" s="6"/>
      <c r="I6" s="2"/>
      <c r="J6" s="2"/>
      <c r="K6" s="2"/>
      <c r="L6" s="2"/>
      <c r="M6" s="2"/>
      <c r="N6" s="2"/>
      <c r="O6" s="5"/>
      <c r="P6" s="2"/>
    </row>
    <row r="7" spans="1:16" x14ac:dyDescent="0.3">
      <c r="A7" s="2"/>
      <c r="B7" s="2"/>
      <c r="C7" s="2"/>
      <c r="D7" s="2"/>
      <c r="E7" s="2"/>
      <c r="F7" s="2"/>
      <c r="G7" s="2"/>
      <c r="H7" s="6"/>
      <c r="I7" s="2"/>
      <c r="J7" s="2"/>
      <c r="K7" s="2"/>
      <c r="L7" s="2"/>
      <c r="M7" s="2"/>
      <c r="N7" s="2"/>
      <c r="O7" s="5"/>
      <c r="P7" s="2"/>
    </row>
    <row r="8" spans="1:16" x14ac:dyDescent="0.3">
      <c r="A8" s="2"/>
      <c r="B8" s="2"/>
      <c r="C8" s="2"/>
      <c r="D8" s="2"/>
      <c r="E8" s="2"/>
      <c r="F8" s="2"/>
      <c r="G8" s="2"/>
      <c r="H8" s="6"/>
      <c r="I8" s="2"/>
      <c r="J8" s="2"/>
      <c r="K8" s="2"/>
      <c r="L8" s="2"/>
      <c r="M8" s="2"/>
      <c r="N8" s="2"/>
      <c r="O8" s="5"/>
      <c r="P8" s="2"/>
    </row>
    <row r="9" spans="1:16" x14ac:dyDescent="0.3">
      <c r="A9" s="2"/>
      <c r="B9" s="2"/>
      <c r="C9" s="2"/>
      <c r="D9" s="2"/>
      <c r="E9" s="2"/>
      <c r="F9" s="2"/>
      <c r="G9" s="2"/>
      <c r="H9" s="6"/>
      <c r="I9" s="2"/>
      <c r="J9" s="2"/>
      <c r="K9" s="2"/>
      <c r="L9" s="2"/>
      <c r="M9" s="2"/>
      <c r="N9" s="2"/>
      <c r="O9" s="5"/>
      <c r="P9" s="2"/>
    </row>
    <row r="10" spans="1:16" x14ac:dyDescent="0.3">
      <c r="A10" s="2"/>
      <c r="B10" s="2"/>
      <c r="C10" s="2"/>
      <c r="D10" s="2"/>
      <c r="E10" s="2"/>
      <c r="F10" s="2"/>
      <c r="G10" s="2"/>
      <c r="H10" s="6"/>
      <c r="I10" s="2"/>
      <c r="J10" s="2"/>
      <c r="K10" s="2"/>
      <c r="L10" s="2"/>
      <c r="M10" s="2"/>
      <c r="N10" s="2"/>
      <c r="O10" s="5"/>
      <c r="P10" s="2"/>
    </row>
    <row r="11" spans="1:16" x14ac:dyDescent="0.3">
      <c r="A11" s="2"/>
      <c r="B11" s="2"/>
      <c r="C11" s="2"/>
      <c r="D11" s="2"/>
      <c r="E11" s="2"/>
      <c r="F11" s="2"/>
      <c r="G11" s="2"/>
      <c r="H11" s="6"/>
      <c r="I11" s="2"/>
      <c r="J11" s="2"/>
      <c r="K11" s="2"/>
      <c r="L11" s="2"/>
      <c r="M11" s="2"/>
      <c r="N11" s="2"/>
      <c r="O11" s="5"/>
      <c r="P11" s="2"/>
    </row>
    <row r="12" spans="1:16" x14ac:dyDescent="0.3">
      <c r="A12" s="2"/>
      <c r="B12" s="2"/>
      <c r="C12" s="2"/>
      <c r="D12" s="2"/>
      <c r="E12" s="2"/>
      <c r="F12" s="2"/>
      <c r="G12" s="2"/>
      <c r="H12" s="6"/>
      <c r="I12" s="2"/>
      <c r="J12" s="2"/>
      <c r="K12" s="2"/>
      <c r="L12" s="2"/>
      <c r="M12" s="2"/>
      <c r="N12" s="2"/>
      <c r="O12" s="5"/>
      <c r="P12" s="2"/>
    </row>
    <row r="13" spans="1:16" x14ac:dyDescent="0.3">
      <c r="A13" s="2"/>
      <c r="B13" s="2"/>
      <c r="C13" s="2"/>
      <c r="D13" s="2"/>
      <c r="E13" s="2"/>
      <c r="F13" s="2"/>
      <c r="G13" s="2"/>
      <c r="H13" s="6"/>
      <c r="I13" s="2"/>
      <c r="J13" s="2"/>
      <c r="K13" s="2"/>
      <c r="L13" s="2"/>
      <c r="M13" s="2"/>
      <c r="N13" s="2"/>
      <c r="O13" s="5"/>
      <c r="P13" s="2"/>
    </row>
    <row r="14" spans="1:16" x14ac:dyDescent="0.3">
      <c r="A14" s="2"/>
      <c r="B14" s="2"/>
      <c r="C14" s="2"/>
      <c r="D14" s="2"/>
      <c r="E14" s="2"/>
      <c r="F14" s="2"/>
      <c r="G14" s="2"/>
      <c r="H14" s="6"/>
      <c r="I14" s="2"/>
      <c r="J14" s="2"/>
      <c r="K14" s="2"/>
      <c r="L14" s="2"/>
      <c r="M14" s="2"/>
      <c r="N14" s="2"/>
      <c r="O14" s="5"/>
      <c r="P14" s="2"/>
    </row>
    <row r="15" spans="1:16" x14ac:dyDescent="0.3">
      <c r="A15" s="2"/>
      <c r="B15" s="2"/>
      <c r="C15" s="2"/>
      <c r="D15" s="2"/>
      <c r="E15" s="2"/>
      <c r="F15" s="2"/>
      <c r="G15" s="2"/>
      <c r="H15" s="6"/>
      <c r="I15" s="2"/>
      <c r="J15" s="2"/>
      <c r="K15" s="2"/>
      <c r="L15" s="2"/>
      <c r="M15" s="2"/>
      <c r="N15" s="2"/>
      <c r="O15" s="5"/>
      <c r="P15" s="2"/>
    </row>
    <row r="16" spans="1:16" x14ac:dyDescent="0.3">
      <c r="A16" s="2"/>
      <c r="B16" s="2"/>
      <c r="C16" s="2"/>
      <c r="D16" s="2"/>
      <c r="E16" s="2"/>
      <c r="F16" s="2"/>
      <c r="G16" s="2"/>
      <c r="H16" s="6"/>
      <c r="I16" s="2"/>
      <c r="J16" s="2"/>
      <c r="K16" s="2"/>
      <c r="L16" s="2"/>
      <c r="M16" s="2"/>
      <c r="N16" s="2"/>
      <c r="O16" s="5"/>
      <c r="P16" s="2"/>
    </row>
    <row r="17" spans="1:16" x14ac:dyDescent="0.3">
      <c r="A17" s="2"/>
      <c r="B17" s="2"/>
      <c r="C17" s="2"/>
      <c r="D17" s="2"/>
      <c r="E17" s="2"/>
      <c r="F17" s="2"/>
      <c r="G17" s="2"/>
      <c r="H17" s="6"/>
      <c r="I17" s="2"/>
      <c r="J17" s="2"/>
      <c r="K17" s="2"/>
      <c r="L17" s="2"/>
      <c r="M17" s="2"/>
      <c r="N17" s="2"/>
      <c r="O17" s="5"/>
      <c r="P17" s="2"/>
    </row>
    <row r="18" spans="1:16" x14ac:dyDescent="0.3">
      <c r="A18" s="2"/>
      <c r="B18" s="2"/>
      <c r="C18" s="2"/>
      <c r="D18" s="2"/>
      <c r="E18" s="2"/>
      <c r="F18" s="2"/>
      <c r="G18" s="2"/>
      <c r="H18" s="6"/>
      <c r="I18" s="2"/>
      <c r="J18" s="2"/>
      <c r="K18" s="2"/>
      <c r="L18" s="2"/>
      <c r="M18" s="2"/>
      <c r="N18" s="2"/>
      <c r="O18" s="5"/>
      <c r="P18" s="2"/>
    </row>
    <row r="19" spans="1:16" x14ac:dyDescent="0.3">
      <c r="A19" s="2"/>
      <c r="B19" s="2"/>
      <c r="C19" s="2"/>
      <c r="D19" s="2"/>
      <c r="E19" s="2"/>
      <c r="F19" s="2"/>
      <c r="G19" s="2"/>
      <c r="H19" s="6"/>
      <c r="I19" s="2"/>
      <c r="J19" s="2"/>
      <c r="K19" s="2"/>
      <c r="L19" s="2"/>
      <c r="M19" s="2"/>
      <c r="N19" s="2"/>
      <c r="O19" s="5"/>
      <c r="P19" s="2"/>
    </row>
    <row r="20" spans="1:16" x14ac:dyDescent="0.3">
      <c r="A20" s="2"/>
      <c r="B20" s="2"/>
      <c r="C20" s="2"/>
      <c r="D20" s="2"/>
      <c r="E20" s="2"/>
      <c r="F20" s="2"/>
      <c r="G20" s="2"/>
      <c r="H20" s="6"/>
      <c r="I20" s="2"/>
      <c r="J20" s="2"/>
      <c r="K20" s="2"/>
      <c r="L20" s="2"/>
      <c r="M20" s="2"/>
      <c r="N20" s="2"/>
      <c r="O20" s="5"/>
      <c r="P20" s="2"/>
    </row>
    <row r="21" spans="1:16" x14ac:dyDescent="0.3">
      <c r="A21" s="2"/>
      <c r="B21" s="2"/>
      <c r="C21" s="2"/>
      <c r="D21" s="2"/>
      <c r="E21" s="2"/>
      <c r="F21" s="2"/>
      <c r="G21" s="2"/>
      <c r="H21" s="6"/>
      <c r="I21" s="2"/>
      <c r="J21" s="2"/>
      <c r="K21" s="2"/>
      <c r="L21" s="2"/>
      <c r="M21" s="2"/>
      <c r="N21" s="2"/>
      <c r="O21" s="5"/>
      <c r="P21" s="2"/>
    </row>
    <row r="22" spans="1:16" x14ac:dyDescent="0.3">
      <c r="A22" s="2"/>
      <c r="B22" s="2"/>
      <c r="C22" s="2"/>
      <c r="D22" s="2"/>
      <c r="E22" s="2"/>
      <c r="F22" s="2"/>
      <c r="G22" s="2"/>
      <c r="H22" s="6"/>
      <c r="I22" s="2"/>
      <c r="J22" s="2"/>
      <c r="K22" s="2"/>
      <c r="L22" s="2"/>
      <c r="M22" s="2"/>
      <c r="N22" s="2"/>
      <c r="O22" s="5"/>
      <c r="P22" s="2"/>
    </row>
    <row r="23" spans="1:16" x14ac:dyDescent="0.3">
      <c r="A23" s="2"/>
      <c r="B23" s="2"/>
      <c r="C23" s="2"/>
      <c r="D23" s="2"/>
      <c r="E23" s="2"/>
      <c r="F23" s="2"/>
      <c r="G23" s="2"/>
      <c r="H23" s="6"/>
      <c r="I23" s="2"/>
      <c r="J23" s="2"/>
      <c r="K23" s="2"/>
      <c r="L23" s="2"/>
      <c r="M23" s="2"/>
      <c r="N23" s="2"/>
      <c r="O23" s="5"/>
      <c r="P23" s="2"/>
    </row>
  </sheetData>
  <mergeCells count="1">
    <mergeCell ref="A1:P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0424-2A45-4644-8AFB-9F3DC30CCFEA}">
  <dimension ref="A2:A28"/>
  <sheetViews>
    <sheetView workbookViewId="0">
      <selection activeCell="Q11" sqref="Q11"/>
    </sheetView>
  </sheetViews>
  <sheetFormatPr defaultRowHeight="14.25" x14ac:dyDescent="0.2"/>
  <cols>
    <col min="1" max="16384" width="9" style="3"/>
  </cols>
  <sheetData>
    <row r="2" spans="1:1" ht="16.5" x14ac:dyDescent="0.3">
      <c r="A2" s="1" t="s">
        <v>15</v>
      </c>
    </row>
    <row r="28" spans="1:1" ht="16.5" x14ac:dyDescent="0.3">
      <c r="A28" s="1" t="s">
        <v>16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86E4-020C-4002-A257-E784B45E447A}">
  <dimension ref="A3:A28"/>
  <sheetViews>
    <sheetView tabSelected="1" workbookViewId="0">
      <selection activeCell="T13" sqref="T13"/>
    </sheetView>
  </sheetViews>
  <sheetFormatPr defaultRowHeight="14.25" x14ac:dyDescent="0.2"/>
  <cols>
    <col min="1" max="16384" width="9" style="3"/>
  </cols>
  <sheetData>
    <row r="3" spans="1:1" ht="15" x14ac:dyDescent="0.25">
      <c r="A3" s="9" t="s">
        <v>25</v>
      </c>
    </row>
    <row r="28" spans="1:1" ht="15" x14ac:dyDescent="0.25">
      <c r="A28" s="9" t="s">
        <v>24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3722-B2A4-4256-8291-36DAB6D40F77}">
  <dimension ref="A1"/>
  <sheetViews>
    <sheetView workbookViewId="0">
      <selection activeCell="P10" sqref="P10"/>
    </sheetView>
  </sheetViews>
  <sheetFormatPr defaultRowHeight="14.25" x14ac:dyDescent="0.2"/>
  <sheetData>
    <row r="1" spans="1:1" s="3" customFormat="1" ht="15" x14ac:dyDescent="0.25">
      <c r="A1" s="9" t="s">
        <v>23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手工登记跟踪表</vt:lpstr>
      <vt:lpstr>系统跟踪表改善</vt:lpstr>
      <vt:lpstr>小盒站点系统改善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2026-04-09T06:04:27Z</dcterms:modified>
</cp:coreProperties>
</file>