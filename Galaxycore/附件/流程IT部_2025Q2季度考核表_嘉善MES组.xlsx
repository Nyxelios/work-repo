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周报\2025\"/>
    </mc:Choice>
  </mc:AlternateContent>
  <bookViews>
    <workbookView xWindow="9225" yWindow="4710" windowWidth="29085" windowHeight="16335" tabRatio="897"/>
  </bookViews>
  <sheets>
    <sheet name="周永佳" sheetId="75" r:id="rId1"/>
    <sheet name="李智威" sheetId="76" r:id="rId2"/>
    <sheet name="肖澳" sheetId="80" r:id="rId3"/>
    <sheet name="王建峰" sheetId="81" r:id="rId4"/>
    <sheet name="曹一帆" sheetId="78" r:id="rId5"/>
    <sheet name="张海燕" sheetId="79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81" l="1"/>
  <c r="J13" i="81" s="1"/>
  <c r="J7" i="81"/>
  <c r="J8" i="81"/>
  <c r="J9" i="81"/>
  <c r="J10" i="81"/>
  <c r="J11" i="81"/>
  <c r="J12" i="81"/>
  <c r="H13" i="81"/>
  <c r="H23" i="81"/>
  <c r="J6" i="80"/>
  <c r="J7" i="80"/>
  <c r="J8" i="80"/>
  <c r="J9" i="80"/>
  <c r="J10" i="80"/>
  <c r="J11" i="80"/>
  <c r="H12" i="80"/>
  <c r="J12" i="80"/>
  <c r="J15" i="80"/>
  <c r="J16" i="80"/>
  <c r="J17" i="80"/>
  <c r="J18" i="80"/>
  <c r="H22" i="80"/>
  <c r="J6" i="79" l="1"/>
  <c r="J7" i="79"/>
  <c r="J12" i="79" s="1"/>
  <c r="J8" i="79"/>
  <c r="J9" i="79"/>
  <c r="J11" i="79"/>
  <c r="H12" i="79"/>
  <c r="H21" i="79"/>
  <c r="J6" i="78" l="1"/>
  <c r="J7" i="78"/>
  <c r="J8" i="78"/>
  <c r="J9" i="78"/>
  <c r="J10" i="78"/>
  <c r="J11" i="78"/>
  <c r="J12" i="78"/>
  <c r="J13" i="78"/>
  <c r="H14" i="78"/>
  <c r="H24" i="78"/>
  <c r="J14" i="78" l="1"/>
  <c r="J6" i="76"/>
  <c r="J7" i="76"/>
  <c r="J8" i="76"/>
  <c r="J9" i="76"/>
  <c r="J13" i="76" s="1"/>
  <c r="J10" i="76"/>
  <c r="J11" i="76"/>
  <c r="J12" i="76"/>
  <c r="H13" i="76"/>
  <c r="H23" i="76"/>
  <c r="J12" i="75" l="1"/>
  <c r="J13" i="75"/>
  <c r="J14" i="75"/>
  <c r="H29" i="75" l="1"/>
  <c r="H15" i="75"/>
  <c r="J11" i="75"/>
  <c r="J10" i="75"/>
  <c r="J9" i="75"/>
  <c r="J8" i="75"/>
  <c r="J7" i="75"/>
  <c r="J6" i="75"/>
  <c r="J15" i="75" l="1"/>
</calcChain>
</file>

<file path=xl/sharedStrings.xml><?xml version="1.0" encoding="utf-8"?>
<sst xmlns="http://schemas.openxmlformats.org/spreadsheetml/2006/main" count="475" uniqueCount="190">
  <si>
    <t>打分</t>
  </si>
  <si>
    <t>得分</t>
  </si>
  <si>
    <r>
      <rPr>
        <b/>
        <sz val="9"/>
        <color rgb="FF000000"/>
        <rFont val="宋体"/>
        <family val="3"/>
        <charset val="134"/>
      </rPr>
      <t>合计</t>
    </r>
  </si>
  <si>
    <r>
      <rPr>
        <b/>
        <sz val="14"/>
        <color rgb="FF000000"/>
        <rFont val="微软雅黑"/>
        <family val="2"/>
        <charset val="134"/>
      </rPr>
      <t>员工季度绩效考评表</t>
    </r>
  </si>
  <si>
    <r>
      <rPr>
        <b/>
        <sz val="9"/>
        <color rgb="FF000000"/>
        <rFont val="微软雅黑"/>
        <family val="2"/>
        <charset val="134"/>
      </rPr>
      <t>本季度工作考评</t>
    </r>
  </si>
  <si>
    <r>
      <rPr>
        <b/>
        <sz val="9"/>
        <color rgb="FF000000"/>
        <rFont val="微软雅黑"/>
        <family val="2"/>
        <charset val="134"/>
      </rPr>
      <t>序号</t>
    </r>
  </si>
  <si>
    <r>
      <rPr>
        <b/>
        <sz val="9"/>
        <color rgb="FF000000"/>
        <rFont val="微软雅黑"/>
        <family val="2"/>
        <charset val="134"/>
      </rPr>
      <t>工作类别</t>
    </r>
  </si>
  <si>
    <r>
      <rPr>
        <b/>
        <sz val="9"/>
        <color rgb="FF000000"/>
        <rFont val="微软雅黑"/>
        <family val="2"/>
        <charset val="134"/>
      </rPr>
      <t>工作事项</t>
    </r>
  </si>
  <si>
    <r>
      <rPr>
        <b/>
        <sz val="9"/>
        <color rgb="FF000000"/>
        <rFont val="微软雅黑"/>
        <family val="2"/>
        <charset val="134"/>
      </rPr>
      <t>任务权重</t>
    </r>
  </si>
  <si>
    <r>
      <rPr>
        <b/>
        <sz val="9"/>
        <color rgb="FF000000"/>
        <rFont val="微软雅黑"/>
        <family val="2"/>
        <charset val="134"/>
      </rPr>
      <t>工作目标</t>
    </r>
  </si>
  <si>
    <r>
      <rPr>
        <b/>
        <sz val="9"/>
        <color rgb="FF000000"/>
        <rFont val="微软雅黑"/>
        <family val="2"/>
        <charset val="134"/>
      </rPr>
      <t>完成情况</t>
    </r>
  </si>
  <si>
    <r>
      <rPr>
        <b/>
        <sz val="9"/>
        <color rgb="FF000000"/>
        <rFont val="微软雅黑"/>
        <family val="2"/>
        <charset val="134"/>
      </rPr>
      <t>考核权重</t>
    </r>
  </si>
  <si>
    <r>
      <rPr>
        <b/>
        <sz val="9"/>
        <color rgb="FF000000"/>
        <rFont val="微软雅黑"/>
        <family val="2"/>
        <charset val="134"/>
      </rPr>
      <t>备注</t>
    </r>
  </si>
  <si>
    <r>
      <rPr>
        <b/>
        <sz val="9"/>
        <color rgb="FF000000"/>
        <rFont val="微软雅黑"/>
        <family val="2"/>
        <charset val="134"/>
      </rPr>
      <t>总体目标方向</t>
    </r>
  </si>
  <si>
    <r>
      <rPr>
        <sz val="9"/>
        <color rgb="FF000000"/>
        <rFont val="微软雅黑"/>
        <family val="2"/>
        <charset val="134"/>
      </rPr>
      <t>岗位工作</t>
    </r>
  </si>
  <si>
    <r>
      <rPr>
        <sz val="9"/>
        <color rgb="FF000000"/>
        <rFont val="微软雅黑"/>
        <family val="2"/>
        <charset val="134"/>
      </rPr>
      <t>项目工作</t>
    </r>
  </si>
  <si>
    <r>
      <rPr>
        <b/>
        <sz val="9"/>
        <color rgb="FF000000"/>
        <rFont val="微软雅黑"/>
        <family val="2"/>
        <charset val="134"/>
      </rPr>
      <t>工作目标</t>
    </r>
    <r>
      <rPr>
        <b/>
        <sz val="9"/>
        <color rgb="FF000000"/>
        <rFont val="Calibri"/>
        <family val="2"/>
      </rPr>
      <t>&amp;</t>
    </r>
    <r>
      <rPr>
        <b/>
        <sz val="9"/>
        <color rgb="FF000000"/>
        <rFont val="微软雅黑"/>
        <family val="2"/>
        <charset val="134"/>
      </rPr>
      <t>衡量标准</t>
    </r>
  </si>
  <si>
    <r>
      <rPr>
        <b/>
        <sz val="9"/>
        <color rgb="FF000000"/>
        <rFont val="微软雅黑"/>
        <family val="2"/>
        <charset val="134"/>
      </rPr>
      <t>权重</t>
    </r>
  </si>
  <si>
    <r>
      <rPr>
        <b/>
        <sz val="9"/>
        <color rgb="FF000000"/>
        <rFont val="微软雅黑"/>
        <family val="2"/>
        <charset val="134"/>
      </rPr>
      <t>上级评价</t>
    </r>
  </si>
  <si>
    <r>
      <rPr>
        <b/>
        <sz val="9"/>
        <color rgb="FF000000"/>
        <rFont val="微软雅黑"/>
        <family val="2"/>
        <charset val="134"/>
      </rPr>
      <t>整体工作情况及工作亮点：</t>
    </r>
  </si>
  <si>
    <r>
      <rPr>
        <b/>
        <sz val="9"/>
        <color rgb="FF000000"/>
        <rFont val="微软雅黑"/>
        <family val="2"/>
        <charset val="134"/>
      </rPr>
      <t>本季度绩效结果等级</t>
    </r>
  </si>
  <si>
    <r>
      <rPr>
        <b/>
        <sz val="9"/>
        <color rgb="FF000000"/>
        <rFont val="微软雅黑"/>
        <family val="2"/>
        <charset val="134"/>
      </rPr>
      <t>员工签字：</t>
    </r>
  </si>
  <si>
    <r>
      <rPr>
        <b/>
        <sz val="9"/>
        <color rgb="FF000000"/>
        <rFont val="微软雅黑"/>
        <family val="2"/>
        <charset val="134"/>
      </rPr>
      <t>部门考评人签字：</t>
    </r>
  </si>
  <si>
    <r>
      <rPr>
        <b/>
        <sz val="9"/>
        <color rgb="FF000000"/>
        <rFont val="微软雅黑"/>
        <family val="2"/>
        <charset val="134"/>
      </rPr>
      <t>改进提升项</t>
    </r>
    <r>
      <rPr>
        <sz val="8"/>
        <color rgb="FF000000"/>
        <rFont val="微软雅黑"/>
        <family val="2"/>
        <charset val="134"/>
      </rPr>
      <t>（建议包含实施活动及衡量标准，所需支持人，计划完成时间）</t>
    </r>
    <r>
      <rPr>
        <b/>
        <sz val="9"/>
        <color rgb="FF000000"/>
        <rFont val="微软雅黑"/>
        <family val="2"/>
        <charset val="134"/>
      </rPr>
      <t>：</t>
    </r>
    <phoneticPr fontId="19" type="noConversion"/>
  </si>
  <si>
    <r>
      <rPr>
        <b/>
        <sz val="9"/>
        <color rgb="FF000000"/>
        <rFont val="微软雅黑"/>
        <family val="2"/>
        <charset val="134"/>
      </rPr>
      <t>下季度工作目标</t>
    </r>
  </si>
  <si>
    <t>部门：流程IT部       姓名：周永佳         职位：主管          考评周期：2025年Q2               填表日期： 2025年6月30日</t>
    <phoneticPr fontId="19" type="noConversion"/>
  </si>
  <si>
    <t>维护系统正常高效运行；需求功能整理，开发；制定流程；完成项目工作</t>
    <phoneticPr fontId="19" type="noConversion"/>
  </si>
  <si>
    <t>WMS系统新需求整理及开发</t>
    <phoneticPr fontId="19" type="noConversion"/>
  </si>
  <si>
    <t>1.需求收集及讨论
2.设计功能流程
3.功能开发
4.功能上线</t>
    <phoneticPr fontId="19" type="noConversion"/>
  </si>
  <si>
    <t>Done</t>
  </si>
  <si>
    <t>MES系统新需求整理及开发</t>
    <phoneticPr fontId="19" type="noConversion"/>
  </si>
  <si>
    <t>1.需求收集及讨论
2.设计功能流程
3.分配开发任务
4.功能验收</t>
    <phoneticPr fontId="19" type="noConversion"/>
  </si>
  <si>
    <t>产线日常问题处理</t>
    <phoneticPr fontId="19" type="noConversion"/>
  </si>
  <si>
    <t>1.处理用户反馈问题
2.优化相关功能</t>
    <phoneticPr fontId="19" type="noConversion"/>
  </si>
  <si>
    <t>工程师日常问题处理</t>
    <phoneticPr fontId="19" type="noConversion"/>
  </si>
  <si>
    <t>仓库日常问题处理</t>
    <phoneticPr fontId="19" type="noConversion"/>
  </si>
  <si>
    <t>嘉善封测-立库系统建设</t>
    <phoneticPr fontId="19" type="noConversion"/>
  </si>
  <si>
    <t>完成流程调研</t>
    <phoneticPr fontId="19" type="noConversion"/>
  </si>
  <si>
    <t>嘉善封测-SAP系统建设</t>
    <phoneticPr fontId="19" type="noConversion"/>
  </si>
  <si>
    <t>完成流程调研</t>
    <phoneticPr fontId="19" type="noConversion"/>
  </si>
  <si>
    <t>Ongoing</t>
    <phoneticPr fontId="19" type="noConversion"/>
  </si>
  <si>
    <t>完成业务调研</t>
    <phoneticPr fontId="19" type="noConversion"/>
  </si>
  <si>
    <t>嘉善封测-成品WMS改造调研</t>
    <phoneticPr fontId="19" type="noConversion"/>
  </si>
  <si>
    <t>OIS产线MES导入</t>
  </si>
  <si>
    <t>完成OIS产线MES导入</t>
  </si>
  <si>
    <t>完成WMS改造任务</t>
    <phoneticPr fontId="19" type="noConversion"/>
  </si>
  <si>
    <t>初步完成立库系统的导入及对接</t>
    <phoneticPr fontId="19" type="noConversion"/>
  </si>
  <si>
    <t>初步完成SAP系统的导入及对接</t>
    <phoneticPr fontId="19" type="noConversion"/>
  </si>
  <si>
    <t>嘉善封测-SAP系统建设</t>
    <phoneticPr fontId="19" type="noConversion"/>
  </si>
  <si>
    <t>OIS产线MES导入</t>
    <phoneticPr fontId="19" type="noConversion"/>
  </si>
  <si>
    <t>完成CP/RW 设备自动化建设</t>
  </si>
  <si>
    <t>成品仓WMS系统搭建</t>
  </si>
  <si>
    <t>嘉善封测-自动化建设</t>
    <phoneticPr fontId="19" type="noConversion"/>
  </si>
  <si>
    <r>
      <t>OCF</t>
    </r>
    <r>
      <rPr>
        <sz val="11"/>
        <color rgb="FF000000"/>
        <rFont val="宋体"/>
        <family val="3"/>
        <charset val="134"/>
      </rPr>
      <t>工程业务系统建设</t>
    </r>
    <phoneticPr fontId="19" type="noConversion"/>
  </si>
  <si>
    <r>
      <rPr>
        <b/>
        <sz val="9"/>
        <color rgb="FF000000"/>
        <rFont val="微软雅黑"/>
        <family val="2"/>
        <charset val="134"/>
      </rPr>
      <t>改进提升项</t>
    </r>
    <r>
      <rPr>
        <sz val="8"/>
        <color rgb="FF000000"/>
        <rFont val="微软雅黑"/>
        <family val="2"/>
        <charset val="134"/>
      </rPr>
      <t>（建议包含实施活动及衡量标准，所需支持人，计划完成时间）</t>
    </r>
    <r>
      <rPr>
        <b/>
        <sz val="9"/>
        <color rgb="FF000000"/>
        <rFont val="微软雅黑"/>
        <family val="2"/>
        <charset val="134"/>
      </rPr>
      <t>：</t>
    </r>
    <phoneticPr fontId="19" type="noConversion"/>
  </si>
  <si>
    <t>进行中</t>
    <phoneticPr fontId="19" type="noConversion"/>
  </si>
  <si>
    <t>1:上线WLT自动化排料
2:FT线上线ATE测试自动过站接口
3:优化CP自动排料功能</t>
    <phoneticPr fontId="19" type="noConversion"/>
  </si>
  <si>
    <t>嘉善自动化建设</t>
  </si>
  <si>
    <t>OIS 进行产线试跑，根据实际情况调整系统功能</t>
    <phoneticPr fontId="19" type="noConversion"/>
  </si>
  <si>
    <t>对应产线或者工程师提出的对MES系统的改进优化或者新功能</t>
    <phoneticPr fontId="19" type="noConversion"/>
  </si>
  <si>
    <r>
      <t>MES</t>
    </r>
    <r>
      <rPr>
        <sz val="9"/>
        <color rgb="FF000000"/>
        <rFont val="宋体"/>
        <family val="3"/>
        <charset val="134"/>
      </rPr>
      <t>需求对接</t>
    </r>
    <phoneticPr fontId="19" type="noConversion"/>
  </si>
  <si>
    <r>
      <t>MES</t>
    </r>
    <r>
      <rPr>
        <sz val="9"/>
        <color rgb="FF000000"/>
        <rFont val="宋体"/>
        <family val="3"/>
        <charset val="134"/>
      </rPr>
      <t>需求对接</t>
    </r>
    <phoneticPr fontId="19" type="noConversion"/>
  </si>
  <si>
    <t>确保生产正常使用系统，系统稳定运行</t>
    <phoneticPr fontId="26" type="noConversion"/>
  </si>
  <si>
    <t xml:space="preserve">MES系统数据库数据维护 </t>
    <phoneticPr fontId="19" type="noConversion"/>
  </si>
  <si>
    <t xml:space="preserve">MES系统数据库数据维护 </t>
    <phoneticPr fontId="19" type="noConversion"/>
  </si>
  <si>
    <t>1.分析处理用户反馈问题
2.Daily review问题，记录Mantis</t>
    <phoneticPr fontId="26" type="noConversion"/>
  </si>
  <si>
    <t xml:space="preserve">对用户线上的问题及时响应，查找异常原因，并解决修正问题 </t>
    <phoneticPr fontId="26" type="noConversion"/>
  </si>
  <si>
    <t>1.开发测试
2.UAT环境功能测试
3.新版上线部署发布及备份
4.新版上线后功能验证</t>
    <phoneticPr fontId="26" type="noConversion"/>
  </si>
  <si>
    <t xml:space="preserve">MES版本在计划时间内完成测试
</t>
    <phoneticPr fontId="26" type="noConversion"/>
  </si>
  <si>
    <t>进行中</t>
    <phoneticPr fontId="19" type="noConversion"/>
  </si>
  <si>
    <t>系统模块化测试以及调优</t>
    <phoneticPr fontId="26" type="noConversion"/>
  </si>
  <si>
    <t>及时发现MES系统BUG以及不足的地方，及时调整优化代码结构</t>
    <phoneticPr fontId="26" type="noConversion"/>
  </si>
  <si>
    <r>
      <t>MES</t>
    </r>
    <r>
      <rPr>
        <sz val="9"/>
        <color rgb="FF000000"/>
        <rFont val="宋体"/>
        <family val="3"/>
        <charset val="134"/>
      </rPr>
      <t>版本的功能测试以及部署发布；</t>
    </r>
    <r>
      <rPr>
        <sz val="9"/>
        <color rgb="FF000000"/>
        <rFont val="Calibri"/>
        <family val="2"/>
      </rPr>
      <t>MES</t>
    </r>
    <r>
      <rPr>
        <sz val="9"/>
        <color rgb="FF000000"/>
        <rFont val="宋体"/>
        <family val="3"/>
        <charset val="134"/>
      </rPr>
      <t>系统的日常运维及开发</t>
    </r>
    <r>
      <rPr>
        <sz val="9"/>
        <color rgb="FF000000"/>
        <rFont val="Calibri"/>
        <family val="2"/>
      </rPr>
      <t>;MES</t>
    </r>
    <r>
      <rPr>
        <sz val="9"/>
        <color rgb="FF000000"/>
        <rFont val="宋体"/>
        <family val="3"/>
        <charset val="134"/>
      </rPr>
      <t>需求对接</t>
    </r>
    <phoneticPr fontId="19" type="noConversion"/>
  </si>
  <si>
    <t>已完成</t>
    <phoneticPr fontId="19" type="noConversion"/>
  </si>
  <si>
    <t>WLT自动排料需求确认</t>
    <phoneticPr fontId="19" type="noConversion"/>
  </si>
  <si>
    <t>已完成</t>
    <phoneticPr fontId="19" type="noConversion"/>
  </si>
  <si>
    <t>OIS按需求完成整体流程开发并进入测试阶段</t>
    <phoneticPr fontId="19" type="noConversion"/>
  </si>
  <si>
    <t>对应产线或者工程师提出的对MES系统的改进优化或者新功能</t>
    <phoneticPr fontId="19" type="noConversion"/>
  </si>
  <si>
    <t>确保生产正常使用系统，系统稳定运行</t>
    <phoneticPr fontId="26" type="noConversion"/>
  </si>
  <si>
    <t>1.分析处理用户反馈问题
2.Daily review问题，记录Mantis</t>
    <phoneticPr fontId="26" type="noConversion"/>
  </si>
  <si>
    <t xml:space="preserve">对用户线上的问题及时响应，查找异常原因，并解决修正问题 </t>
    <phoneticPr fontId="26" type="noConversion"/>
  </si>
  <si>
    <t>进行中</t>
    <phoneticPr fontId="19" type="noConversion"/>
  </si>
  <si>
    <t xml:space="preserve">MES版本在计划时间内完成测试
</t>
    <phoneticPr fontId="26" type="noConversion"/>
  </si>
  <si>
    <t>及时发现MES系统BUG以及不足的地方，及时调整优化代码结构</t>
    <phoneticPr fontId="26" type="noConversion"/>
  </si>
  <si>
    <r>
      <t>MES</t>
    </r>
    <r>
      <rPr>
        <sz val="9"/>
        <color rgb="FF000000"/>
        <rFont val="宋体"/>
        <family val="3"/>
        <charset val="134"/>
      </rPr>
      <t>版本的功能测试以及部署发布；</t>
    </r>
    <r>
      <rPr>
        <sz val="9"/>
        <color rgb="FF000000"/>
        <rFont val="Calibri"/>
        <family val="2"/>
      </rPr>
      <t>MES</t>
    </r>
    <r>
      <rPr>
        <sz val="9"/>
        <color rgb="FF000000"/>
        <rFont val="宋体"/>
        <family val="3"/>
        <charset val="134"/>
      </rPr>
      <t>系统的日常运维及开发</t>
    </r>
    <r>
      <rPr>
        <sz val="9"/>
        <color rgb="FF000000"/>
        <rFont val="Calibri"/>
        <family val="2"/>
      </rPr>
      <t>;MES</t>
    </r>
    <r>
      <rPr>
        <sz val="9"/>
        <color rgb="FF000000"/>
        <rFont val="宋体"/>
        <family val="3"/>
        <charset val="134"/>
      </rPr>
      <t>需求对接</t>
    </r>
    <phoneticPr fontId="19" type="noConversion"/>
  </si>
  <si>
    <r>
      <rPr>
        <b/>
        <sz val="11"/>
        <color rgb="FF000000"/>
        <rFont val="微软雅黑"/>
        <family val="2"/>
        <charset val="134"/>
      </rPr>
      <t>部门：流程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部</t>
    </r>
    <r>
      <rPr>
        <b/>
        <sz val="11"/>
        <color rgb="FF000000"/>
        <rFont val="Calibri"/>
        <family val="2"/>
      </rPr>
      <t xml:space="preserve">       </t>
    </r>
    <r>
      <rPr>
        <b/>
        <sz val="11"/>
        <color rgb="FF000000"/>
        <rFont val="微软雅黑"/>
        <family val="2"/>
        <charset val="134"/>
      </rPr>
      <t>姓名：李智威</t>
    </r>
    <r>
      <rPr>
        <b/>
        <sz val="11"/>
        <color rgb="FF000000"/>
        <rFont val="Calibri"/>
        <family val="2"/>
      </rPr>
      <t xml:space="preserve">         </t>
    </r>
    <r>
      <rPr>
        <b/>
        <sz val="11"/>
        <color rgb="FF000000"/>
        <rFont val="微软雅黑"/>
        <family val="2"/>
        <charset val="134"/>
      </rPr>
      <t>职位：高级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工程师</t>
    </r>
    <r>
      <rPr>
        <b/>
        <sz val="11"/>
        <color rgb="FF000000"/>
        <rFont val="Calibri"/>
        <family val="2"/>
      </rPr>
      <t xml:space="preserve">        </t>
    </r>
    <r>
      <rPr>
        <b/>
        <sz val="11"/>
        <color rgb="FF000000"/>
        <rFont val="微软雅黑"/>
        <family val="2"/>
        <charset val="134"/>
      </rPr>
      <t>考评周期：</t>
    </r>
    <r>
      <rPr>
        <b/>
        <sz val="11"/>
        <color rgb="FF000000"/>
        <rFont val="Calibri"/>
        <family val="2"/>
      </rPr>
      <t>2025</t>
    </r>
    <r>
      <rPr>
        <b/>
        <sz val="11"/>
        <color rgb="FF000000"/>
        <rFont val="微软雅黑"/>
        <family val="2"/>
        <charset val="134"/>
      </rPr>
      <t>年</t>
    </r>
    <r>
      <rPr>
        <b/>
        <sz val="11"/>
        <color rgb="FF000000"/>
        <rFont val="Calibri"/>
        <family val="2"/>
      </rPr>
      <t xml:space="preserve">Q2                  </t>
    </r>
    <r>
      <rPr>
        <b/>
        <sz val="11"/>
        <color rgb="FF000000"/>
        <rFont val="微软雅黑"/>
        <family val="2"/>
        <charset val="134"/>
      </rPr>
      <t>填表日期：</t>
    </r>
    <r>
      <rPr>
        <b/>
        <sz val="11"/>
        <color rgb="FF000000"/>
        <rFont val="Calibri"/>
        <family val="2"/>
      </rPr>
      <t xml:space="preserve"> 2025</t>
    </r>
    <r>
      <rPr>
        <b/>
        <sz val="11"/>
        <color rgb="FF000000"/>
        <rFont val="微软雅黑"/>
        <family val="2"/>
        <charset val="134"/>
      </rPr>
      <t>年</t>
    </r>
    <r>
      <rPr>
        <b/>
        <sz val="11"/>
        <color rgb="FF000000"/>
        <rFont val="Calibri"/>
        <family val="2"/>
      </rPr>
      <t>6</t>
    </r>
    <r>
      <rPr>
        <b/>
        <sz val="11"/>
        <color rgb="FF000000"/>
        <rFont val="微软雅黑"/>
        <family val="2"/>
        <charset val="134"/>
      </rPr>
      <t>月</t>
    </r>
    <r>
      <rPr>
        <b/>
        <sz val="11"/>
        <color rgb="FF000000"/>
        <rFont val="Calibri"/>
        <family val="2"/>
      </rPr>
      <t>27</t>
    </r>
    <r>
      <rPr>
        <b/>
        <sz val="11"/>
        <color rgb="FF000000"/>
        <rFont val="微软雅黑"/>
        <family val="2"/>
        <charset val="134"/>
      </rPr>
      <t>日</t>
    </r>
    <phoneticPr fontId="19" type="noConversion"/>
  </si>
  <si>
    <t>Ongoing</t>
  </si>
  <si>
    <t>根据用户需求开发新功能</t>
    <phoneticPr fontId="19" type="noConversion"/>
  </si>
  <si>
    <t xml:space="preserve">系统模块化测试以及调优
</t>
    <phoneticPr fontId="26" type="noConversion"/>
  </si>
  <si>
    <t>及时发现系统BUG以及不足的地方，及时调整逻辑，优化代码结构逻辑</t>
    <phoneticPr fontId="26" type="noConversion"/>
  </si>
  <si>
    <t>孤波系统对接</t>
  </si>
  <si>
    <r>
      <rPr>
        <b/>
        <sz val="11"/>
        <color rgb="FF000000"/>
        <rFont val="微软雅黑"/>
        <family val="2"/>
        <charset val="134"/>
      </rPr>
      <t>部门：流程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部</t>
    </r>
    <r>
      <rPr>
        <b/>
        <sz val="11"/>
        <color rgb="FF000000"/>
        <rFont val="Calibri"/>
        <family val="2"/>
      </rPr>
      <t xml:space="preserve">       </t>
    </r>
    <r>
      <rPr>
        <b/>
        <sz val="11"/>
        <color rgb="FF000000"/>
        <rFont val="微软雅黑"/>
        <family val="2"/>
        <charset val="134"/>
      </rPr>
      <t>姓名：肖澳</t>
    </r>
    <r>
      <rPr>
        <b/>
        <sz val="11"/>
        <color rgb="FF000000"/>
        <rFont val="Calibri"/>
        <family val="2"/>
      </rPr>
      <t xml:space="preserve">         </t>
    </r>
    <r>
      <rPr>
        <b/>
        <sz val="11"/>
        <color rgb="FF000000"/>
        <rFont val="微软雅黑"/>
        <family val="2"/>
        <charset val="134"/>
      </rPr>
      <t>职位：高级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工程师</t>
    </r>
    <r>
      <rPr>
        <b/>
        <sz val="11"/>
        <color rgb="FF000000"/>
        <rFont val="Calibri"/>
        <family val="2"/>
      </rPr>
      <t xml:space="preserve">          </t>
    </r>
    <r>
      <rPr>
        <b/>
        <sz val="11"/>
        <color rgb="FF000000"/>
        <rFont val="微软雅黑"/>
        <family val="2"/>
        <charset val="134"/>
      </rPr>
      <t>考评周期：</t>
    </r>
    <r>
      <rPr>
        <b/>
        <sz val="11"/>
        <color rgb="FF000000"/>
        <rFont val="Calibri"/>
        <family val="2"/>
      </rPr>
      <t>2025</t>
    </r>
    <r>
      <rPr>
        <b/>
        <sz val="11"/>
        <color rgb="FF000000"/>
        <rFont val="微软雅黑"/>
        <family val="2"/>
        <charset val="134"/>
      </rPr>
      <t>年</t>
    </r>
    <r>
      <rPr>
        <b/>
        <sz val="11"/>
        <color rgb="FF000000"/>
        <rFont val="Calibri"/>
        <family val="2"/>
      </rPr>
      <t xml:space="preserve">Q2                  </t>
    </r>
    <r>
      <rPr>
        <b/>
        <sz val="11"/>
        <color rgb="FF000000"/>
        <rFont val="微软雅黑"/>
        <family val="2"/>
        <charset val="134"/>
      </rPr>
      <t>填表日期：</t>
    </r>
    <r>
      <rPr>
        <b/>
        <sz val="11"/>
        <color rgb="FF000000"/>
        <rFont val="Calibri"/>
        <family val="2"/>
      </rPr>
      <t xml:space="preserve"> 2025</t>
    </r>
    <r>
      <rPr>
        <b/>
        <sz val="11"/>
        <color rgb="FF000000"/>
        <rFont val="微软雅黑"/>
        <family val="2"/>
        <charset val="134"/>
      </rPr>
      <t>年6月27日</t>
    </r>
    <phoneticPr fontId="19" type="noConversion"/>
  </si>
  <si>
    <r>
      <rPr>
        <b/>
        <sz val="9"/>
        <color rgb="FF000000"/>
        <rFont val="微软雅黑"/>
        <family val="2"/>
        <charset val="134"/>
      </rPr>
      <t>改进提升项</t>
    </r>
    <r>
      <rPr>
        <sz val="8"/>
        <color rgb="FF000000"/>
        <rFont val="微软雅黑"/>
        <family val="2"/>
        <charset val="134"/>
      </rPr>
      <t>（建议包含实施活动及衡量标准，所需支持人，计划完成时间）</t>
    </r>
    <r>
      <rPr>
        <b/>
        <sz val="9"/>
        <color rgb="FF000000"/>
        <rFont val="微软雅黑"/>
        <family val="2"/>
        <charset val="134"/>
      </rPr>
      <t>：</t>
    </r>
    <phoneticPr fontId="19" type="noConversion"/>
  </si>
  <si>
    <t>OIS/模组产线MES导入</t>
    <phoneticPr fontId="19" type="noConversion"/>
  </si>
  <si>
    <t>OCF 工程业务系统建设（WMS部分）</t>
    <phoneticPr fontId="19" type="noConversion"/>
  </si>
  <si>
    <t>OCF 工程业务系统建设</t>
  </si>
  <si>
    <t>立体仓建设</t>
    <phoneticPr fontId="19" type="noConversion"/>
  </si>
  <si>
    <t>Done</t>
    <phoneticPr fontId="19" type="noConversion"/>
  </si>
  <si>
    <t>及时发现系统出现的BUG及可能出现的BUG并修复</t>
    <phoneticPr fontId="19" type="noConversion"/>
  </si>
  <si>
    <t>WMS系统维护与MAP分发系统维护修复出现的BUG</t>
    <phoneticPr fontId="19" type="noConversion"/>
  </si>
  <si>
    <t>系统开发测试及系统模块化测试</t>
    <phoneticPr fontId="19" type="noConversion"/>
  </si>
  <si>
    <t>WMS功能测试与MAP分发系统测试</t>
    <phoneticPr fontId="19" type="noConversion"/>
  </si>
  <si>
    <t>优化wms使用过程，增加人员使用效率；优化MAP分发系统效率</t>
    <phoneticPr fontId="19" type="noConversion"/>
  </si>
  <si>
    <t>WMS系统与MAP分发系统功能优化提升用户使用效率</t>
    <phoneticPr fontId="19" type="noConversion"/>
  </si>
  <si>
    <t>对工程师提出的对WMS系统与MAP分发系统的功能需求进行评估及开发</t>
    <phoneticPr fontId="19" type="noConversion"/>
  </si>
  <si>
    <t>WMS与MAP分发系统需求功能开发</t>
    <phoneticPr fontId="19" type="noConversion"/>
  </si>
  <si>
    <r>
      <rPr>
        <sz val="9"/>
        <color rgb="FF000000"/>
        <rFont val="微软雅黑"/>
        <family val="2"/>
        <charset val="134"/>
      </rPr>
      <t>完成</t>
    </r>
    <r>
      <rPr>
        <sz val="9"/>
        <color rgb="FF000000"/>
        <rFont val="Calibri"/>
        <family val="2"/>
      </rPr>
      <t>WMS</t>
    </r>
    <r>
      <rPr>
        <sz val="9"/>
        <color rgb="FF000000"/>
        <rFont val="微软雅黑"/>
        <family val="2"/>
        <charset val="134"/>
      </rPr>
      <t>系统的整体开发、测试及维护需求，确保系统正常稳定运行等内容；完成</t>
    </r>
    <r>
      <rPr>
        <sz val="9"/>
        <color rgb="FF000000"/>
        <rFont val="Calibri"/>
        <family val="2"/>
      </rPr>
      <t>MAP</t>
    </r>
    <r>
      <rPr>
        <sz val="9"/>
        <color rgb="FF000000"/>
        <rFont val="微软雅黑"/>
        <family val="2"/>
        <charset val="134"/>
      </rPr>
      <t>分发系统的整体开发、测试及维护需求，确保系统正常稳定运行等内容；</t>
    </r>
    <phoneticPr fontId="19" type="noConversion"/>
  </si>
  <si>
    <t>OIS/模组生产线建立（WMS部分）</t>
    <phoneticPr fontId="19" type="noConversion"/>
  </si>
  <si>
    <t>孤波系统对接</t>
    <phoneticPr fontId="19" type="noConversion"/>
  </si>
  <si>
    <t>Done</t>
    <phoneticPr fontId="19" type="noConversion"/>
  </si>
  <si>
    <t>及时发现系统出现的BUG及可能出现的BUG并修复</t>
    <phoneticPr fontId="19" type="noConversion"/>
  </si>
  <si>
    <t>WMS系统维护与MAP分发系统维护修复出现的BUG</t>
    <phoneticPr fontId="19" type="noConversion"/>
  </si>
  <si>
    <t>WMS功能测试与MAP分发系统测试</t>
    <phoneticPr fontId="19" type="noConversion"/>
  </si>
  <si>
    <t>优化wms使用过程，增加人员使用效率；优化MAP分发系统效率</t>
    <phoneticPr fontId="19" type="noConversion"/>
  </si>
  <si>
    <t>WMS系统与MAP分发系统功能优化提升用户使用效率</t>
    <phoneticPr fontId="19" type="noConversion"/>
  </si>
  <si>
    <t>Done</t>
    <phoneticPr fontId="19" type="noConversion"/>
  </si>
  <si>
    <t>对工程师提出的对WMS系统与MAP分发系统的功能需求进行评估及开发</t>
    <phoneticPr fontId="19" type="noConversion"/>
  </si>
  <si>
    <r>
      <rPr>
        <sz val="9"/>
        <color rgb="FF000000"/>
        <rFont val="微软雅黑"/>
        <family val="2"/>
        <charset val="134"/>
      </rPr>
      <t>完成</t>
    </r>
    <r>
      <rPr>
        <sz val="9"/>
        <color rgb="FF000000"/>
        <rFont val="Calibri"/>
        <family val="2"/>
      </rPr>
      <t>WMS</t>
    </r>
    <r>
      <rPr>
        <sz val="9"/>
        <color rgb="FF000000"/>
        <rFont val="微软雅黑"/>
        <family val="2"/>
        <charset val="134"/>
      </rPr>
      <t>系统的整体开发、测试及维护需求，确保系统正常稳定运行等内容；完成</t>
    </r>
    <r>
      <rPr>
        <sz val="9"/>
        <color rgb="FF000000"/>
        <rFont val="Calibri"/>
        <family val="2"/>
      </rPr>
      <t>MAP</t>
    </r>
    <r>
      <rPr>
        <sz val="9"/>
        <color rgb="FF000000"/>
        <rFont val="微软雅黑"/>
        <family val="2"/>
        <charset val="134"/>
      </rPr>
      <t>分发系统的整体开发、测试及维护需求，确保系统正常稳定运行等内容；</t>
    </r>
    <phoneticPr fontId="19" type="noConversion"/>
  </si>
  <si>
    <r>
      <rPr>
        <b/>
        <sz val="11"/>
        <color rgb="FF000000"/>
        <rFont val="微软雅黑"/>
        <family val="2"/>
        <charset val="134"/>
      </rPr>
      <t>部门：流程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部</t>
    </r>
    <r>
      <rPr>
        <b/>
        <sz val="11"/>
        <color rgb="FF000000"/>
        <rFont val="Calibri"/>
        <family val="2"/>
      </rPr>
      <t xml:space="preserve">       </t>
    </r>
    <r>
      <rPr>
        <b/>
        <sz val="11"/>
        <color rgb="FF000000"/>
        <rFont val="微软雅黑"/>
        <family val="2"/>
        <charset val="134"/>
      </rPr>
      <t>姓名：曹一帆</t>
    </r>
    <r>
      <rPr>
        <b/>
        <sz val="11"/>
        <color rgb="FF000000"/>
        <rFont val="Calibri"/>
        <family val="2"/>
      </rPr>
      <t xml:space="preserve">         </t>
    </r>
    <r>
      <rPr>
        <b/>
        <sz val="11"/>
        <color rgb="FF000000"/>
        <rFont val="微软雅黑"/>
        <family val="2"/>
        <charset val="134"/>
      </rPr>
      <t>职位：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工程师</t>
    </r>
    <r>
      <rPr>
        <b/>
        <sz val="11"/>
        <color rgb="FF000000"/>
        <rFont val="Calibri"/>
        <family val="2"/>
      </rPr>
      <t xml:space="preserve">          </t>
    </r>
    <r>
      <rPr>
        <b/>
        <sz val="11"/>
        <color rgb="FF000000"/>
        <rFont val="微软雅黑"/>
        <family val="2"/>
        <charset val="134"/>
      </rPr>
      <t>考评周期：</t>
    </r>
    <r>
      <rPr>
        <b/>
        <sz val="11"/>
        <color rgb="FF000000"/>
        <rFont val="Calibri"/>
        <family val="2"/>
      </rPr>
      <t>2025</t>
    </r>
    <r>
      <rPr>
        <b/>
        <sz val="11"/>
        <color rgb="FF000000"/>
        <rFont val="微软雅黑"/>
        <family val="2"/>
        <charset val="134"/>
      </rPr>
      <t>年</t>
    </r>
    <r>
      <rPr>
        <b/>
        <sz val="11"/>
        <color rgb="FF000000"/>
        <rFont val="Calibri"/>
        <family val="2"/>
      </rPr>
      <t xml:space="preserve">Q2                  </t>
    </r>
    <r>
      <rPr>
        <b/>
        <sz val="11"/>
        <color rgb="FF000000"/>
        <rFont val="微软雅黑"/>
        <family val="2"/>
        <charset val="134"/>
      </rPr>
      <t>填表日期：</t>
    </r>
    <r>
      <rPr>
        <b/>
        <sz val="11"/>
        <color rgb="FF000000"/>
        <rFont val="Calibri"/>
        <family val="2"/>
      </rPr>
      <t xml:space="preserve"> 2025</t>
    </r>
    <r>
      <rPr>
        <b/>
        <sz val="11"/>
        <color rgb="FF000000"/>
        <rFont val="微软雅黑"/>
        <family val="2"/>
        <charset val="134"/>
      </rPr>
      <t>年6月30日</t>
    </r>
    <phoneticPr fontId="19" type="noConversion"/>
  </si>
  <si>
    <t>Ongoing</t>
    <phoneticPr fontId="19" type="noConversion"/>
  </si>
  <si>
    <t>EAP系统相关报表开发</t>
    <phoneticPr fontId="19" type="noConversion"/>
  </si>
  <si>
    <t>EAP系统相关报表开发</t>
    <phoneticPr fontId="19" type="noConversion"/>
  </si>
  <si>
    <t>嘉善自动化建设</t>
    <phoneticPr fontId="19" type="noConversion"/>
  </si>
  <si>
    <t>Ongoing</t>
    <phoneticPr fontId="19" type="noConversion"/>
  </si>
  <si>
    <t>OIS生产线相关报表开发</t>
    <phoneticPr fontId="19" type="noConversion"/>
  </si>
  <si>
    <t>OIS产线MES导入</t>
    <phoneticPr fontId="19" type="noConversion"/>
  </si>
  <si>
    <t>Done</t>
    <phoneticPr fontId="19" type="noConversion"/>
  </si>
  <si>
    <t>准确核对报表数据并进行必要的修改，确保报表数据的准确性和一致性</t>
    <phoneticPr fontId="19" type="noConversion"/>
  </si>
  <si>
    <t>报表数据核对与修改需求</t>
    <phoneticPr fontId="19" type="noConversion"/>
  </si>
  <si>
    <t>报表数据核对与修改需求</t>
    <phoneticPr fontId="19" type="noConversion"/>
  </si>
  <si>
    <t>确保数据抽取准确、系统对接稳定</t>
    <phoneticPr fontId="19" type="noConversion"/>
  </si>
  <si>
    <t>报表数据抽取及系统对接需求</t>
    <phoneticPr fontId="19" type="noConversion"/>
  </si>
  <si>
    <t>有效调整与优化报表，提升报表功能与用户满意度</t>
    <phoneticPr fontId="19" type="noConversion"/>
  </si>
  <si>
    <t>有效调整与优化报表，提升报表功能与用户满意度</t>
    <phoneticPr fontId="19" type="noConversion"/>
  </si>
  <si>
    <t>报表调整优化需求</t>
    <phoneticPr fontId="19" type="noConversion"/>
  </si>
  <si>
    <t>完成报表开发需求并按时交付，确保满足业务需求</t>
    <phoneticPr fontId="19" type="noConversion"/>
  </si>
  <si>
    <t>完成报表开发需求并按时交付，确保满足业务需求</t>
    <phoneticPr fontId="19" type="noConversion"/>
  </si>
  <si>
    <t>报表开发需求</t>
    <phoneticPr fontId="19" type="noConversion"/>
  </si>
  <si>
    <t>报表开发需求</t>
    <phoneticPr fontId="19" type="noConversion"/>
  </si>
  <si>
    <t>格科嘉善报表产品的开发以及持续优化；</t>
    <phoneticPr fontId="19" type="noConversion"/>
  </si>
  <si>
    <t>OIS生产线相关报表开发</t>
    <phoneticPr fontId="19" type="noConversion"/>
  </si>
  <si>
    <t>准确核对报表数据并进行必要的修改，确保报表数据的准确性和一致性</t>
    <phoneticPr fontId="19" type="noConversion"/>
  </si>
  <si>
    <t>确保数据抽取准确、系统对接稳定</t>
    <phoneticPr fontId="19" type="noConversion"/>
  </si>
  <si>
    <t>报表数据抽取及系统对接需求</t>
    <phoneticPr fontId="19" type="noConversion"/>
  </si>
  <si>
    <t>格科嘉善报表产品的开发以及持续优化；</t>
    <phoneticPr fontId="19" type="noConversion"/>
  </si>
  <si>
    <r>
      <rPr>
        <b/>
        <sz val="11"/>
        <color rgb="FF000000"/>
        <rFont val="微软雅黑"/>
        <family val="2"/>
        <charset val="134"/>
      </rPr>
      <t>部门：流程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部</t>
    </r>
    <r>
      <rPr>
        <b/>
        <sz val="11"/>
        <color rgb="FF000000"/>
        <rFont val="Calibri"/>
        <family val="2"/>
      </rPr>
      <t xml:space="preserve">       </t>
    </r>
    <r>
      <rPr>
        <b/>
        <sz val="11"/>
        <color rgb="FF000000"/>
        <rFont val="微软雅黑"/>
        <family val="2"/>
        <charset val="134"/>
      </rPr>
      <t>姓名：张海燕</t>
    </r>
    <r>
      <rPr>
        <b/>
        <sz val="11"/>
        <color rgb="FF000000"/>
        <rFont val="Calibri"/>
        <family val="2"/>
      </rPr>
      <t xml:space="preserve">         </t>
    </r>
    <r>
      <rPr>
        <b/>
        <sz val="11"/>
        <color rgb="FF000000"/>
        <rFont val="微软雅黑"/>
        <family val="2"/>
        <charset val="134"/>
      </rPr>
      <t>职位：高级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工程师</t>
    </r>
    <r>
      <rPr>
        <b/>
        <sz val="11"/>
        <color rgb="FF000000"/>
        <rFont val="Calibri"/>
        <family val="2"/>
      </rPr>
      <t xml:space="preserve">          </t>
    </r>
    <r>
      <rPr>
        <b/>
        <sz val="11"/>
        <color rgb="FF000000"/>
        <rFont val="微软雅黑"/>
        <family val="2"/>
        <charset val="134"/>
      </rPr>
      <t>考评周期：</t>
    </r>
    <r>
      <rPr>
        <b/>
        <sz val="11"/>
        <color rgb="FF000000"/>
        <rFont val="Calibri"/>
        <family val="2"/>
      </rPr>
      <t>2025</t>
    </r>
    <r>
      <rPr>
        <b/>
        <sz val="11"/>
        <color rgb="FF000000"/>
        <rFont val="微软雅黑"/>
        <family val="2"/>
        <charset val="134"/>
      </rPr>
      <t>年</t>
    </r>
    <r>
      <rPr>
        <b/>
        <sz val="11"/>
        <color rgb="FF000000"/>
        <rFont val="Calibri"/>
        <family val="2"/>
      </rPr>
      <t xml:space="preserve">Q2                 </t>
    </r>
    <r>
      <rPr>
        <b/>
        <sz val="11"/>
        <color rgb="FF000000"/>
        <rFont val="微软雅黑"/>
        <family val="2"/>
        <charset val="134"/>
      </rPr>
      <t>填表日期：</t>
    </r>
    <r>
      <rPr>
        <b/>
        <sz val="11"/>
        <color rgb="FF000000"/>
        <rFont val="Calibri"/>
        <family val="2"/>
      </rPr>
      <t xml:space="preserve"> 2025</t>
    </r>
    <r>
      <rPr>
        <b/>
        <sz val="11"/>
        <color rgb="FF000000"/>
        <rFont val="微软雅黑"/>
        <family val="2"/>
        <charset val="134"/>
      </rPr>
      <t>年7月1日</t>
    </r>
    <phoneticPr fontId="19" type="noConversion"/>
  </si>
  <si>
    <r>
      <rPr>
        <b/>
        <sz val="9"/>
        <color rgb="FF000000"/>
        <rFont val="微软雅黑"/>
        <family val="2"/>
        <charset val="134"/>
      </rPr>
      <t>改进提升项</t>
    </r>
    <r>
      <rPr>
        <sz val="8"/>
        <color rgb="FF000000"/>
        <rFont val="微软雅黑"/>
        <family val="2"/>
        <charset val="134"/>
      </rPr>
      <t>（建议包含实施活动及衡量标准，所需支持人，计划完成时间）</t>
    </r>
    <r>
      <rPr>
        <b/>
        <sz val="9"/>
        <color rgb="FF000000"/>
        <rFont val="微软雅黑"/>
        <family val="2"/>
        <charset val="134"/>
      </rPr>
      <t>：</t>
    </r>
    <phoneticPr fontId="19" type="noConversion"/>
  </si>
  <si>
    <t>完成OIS产线MES导入</t>
    <phoneticPr fontId="19" type="noConversion"/>
  </si>
  <si>
    <t>OIS产线MES导入</t>
    <phoneticPr fontId="26" type="noConversion"/>
  </si>
  <si>
    <t>完成CP/RW 设备自动化建设</t>
    <phoneticPr fontId="19" type="noConversion"/>
  </si>
  <si>
    <t>嘉善封测-自动化建设</t>
    <phoneticPr fontId="26" type="noConversion"/>
  </si>
  <si>
    <t>MES与孤波系统对接自动分发孤波生成的Final Map</t>
    <phoneticPr fontId="19" type="noConversion"/>
  </si>
  <si>
    <t>孤波系统对接</t>
    <phoneticPr fontId="26" type="noConversion"/>
  </si>
  <si>
    <t>根据用户需求开发新功能</t>
    <phoneticPr fontId="19" type="noConversion"/>
  </si>
  <si>
    <t>根据用户需求开发新功能</t>
    <phoneticPr fontId="26" type="noConversion"/>
  </si>
  <si>
    <t>为工程师或操作员解答对应模块的功能与操作方法</t>
    <phoneticPr fontId="19" type="noConversion"/>
  </si>
  <si>
    <t xml:space="preserve">对用户线上的问题要及时响应，及时解决问题并归纳整理，找出根本原因，及时修正 </t>
    <phoneticPr fontId="26" type="noConversion"/>
  </si>
  <si>
    <t>修改错误数据，恢复模块正常机能</t>
    <phoneticPr fontId="19" type="noConversion"/>
  </si>
  <si>
    <t>实时处理产线问题，对系统操作中有异常操作、网络波动、系统bug导致使用方无法正常使用进行数据维护</t>
    <phoneticPr fontId="26" type="noConversion"/>
  </si>
  <si>
    <t>系统模块化测试以及调优</t>
    <phoneticPr fontId="19" type="noConversion"/>
  </si>
  <si>
    <t>及时发现系统BUG以及不足的地方，及时调整逻辑，优化代码结构逻辑</t>
    <phoneticPr fontId="26" type="noConversion"/>
  </si>
  <si>
    <r>
      <t>MES</t>
    </r>
    <r>
      <rPr>
        <sz val="9"/>
        <color rgb="FF000000"/>
        <rFont val="微软雅黑"/>
        <family val="2"/>
        <charset val="134"/>
      </rPr>
      <t>系统开发，测试，维护，实施</t>
    </r>
    <phoneticPr fontId="19" type="noConversion"/>
  </si>
  <si>
    <t>MES与孤波系统对接自动分发孤波生成的Final Map</t>
    <phoneticPr fontId="19" type="noConversion"/>
  </si>
  <si>
    <t>修改错误数据，恢复模块正常机能</t>
    <phoneticPr fontId="19" type="noConversion"/>
  </si>
  <si>
    <t>实时处理产线问题，对系统操作中有异常操作、网络波动、系统bug导致使用方无法正常使用进行数据维护</t>
    <phoneticPr fontId="26" type="noConversion"/>
  </si>
  <si>
    <r>
      <t>MES</t>
    </r>
    <r>
      <rPr>
        <sz val="9"/>
        <color rgb="FF000000"/>
        <rFont val="微软雅黑"/>
        <family val="2"/>
        <charset val="134"/>
      </rPr>
      <t>系统开发，测试，维护，实施</t>
    </r>
    <phoneticPr fontId="19" type="noConversion"/>
  </si>
  <si>
    <t>doing</t>
    <phoneticPr fontId="19" type="noConversion"/>
  </si>
  <si>
    <t>doing</t>
    <phoneticPr fontId="19" type="noConversion"/>
  </si>
  <si>
    <t>嘉善封测-自动化建设</t>
    <phoneticPr fontId="19" type="noConversion"/>
  </si>
  <si>
    <t>与供应商模拟任务测试，用户测试并发布上线</t>
    <phoneticPr fontId="19" type="noConversion"/>
  </si>
  <si>
    <t>OIS产线MES导入</t>
    <phoneticPr fontId="19" type="noConversion"/>
  </si>
  <si>
    <t>针对生产线和相关部门提供技术支持，解决用户操作问题。</t>
    <phoneticPr fontId="19" type="noConversion"/>
  </si>
  <si>
    <t>用户支持与培训</t>
  </si>
  <si>
    <t>及时发现并处理生产数据异常，确保数据准确性与连续性。</t>
  </si>
  <si>
    <t>数据异常处理</t>
  </si>
  <si>
    <t>完成系统技术文档的更新与维护，包括操作手册和维护指南。</t>
  </si>
  <si>
    <t>技术文档整理与更新</t>
  </si>
  <si>
    <t>根据用户反馈，优化系统界面设计和操作流程，提高用户体验。</t>
  </si>
  <si>
    <t>界面和操作优化</t>
  </si>
  <si>
    <t>确保MES系统全年平均可用率达到99.5%以上。及时响应和解决系统故障，工单处理时间不超过2小时。</t>
    <phoneticPr fontId="19" type="noConversion"/>
  </si>
  <si>
    <t>系统维护与故障处理</t>
    <phoneticPr fontId="19" type="noConversion"/>
  </si>
  <si>
    <t>确保系统稳定运行；优化生产效率；参与新项目的上线和现有系统的迭代升级</t>
    <phoneticPr fontId="19" type="noConversion"/>
  </si>
  <si>
    <t>供应商POC工作</t>
    <phoneticPr fontId="19" type="noConversion"/>
  </si>
  <si>
    <t>完成CP/RW 设备自动化建设</t>
    <phoneticPr fontId="19" type="noConversion"/>
  </si>
  <si>
    <t>实施细节方案确定，按设计方案具体开发</t>
    <phoneticPr fontId="19" type="noConversion"/>
  </si>
  <si>
    <t>确保MES系统全年平均可用率达到99.5%以上。及时响应和解决系统故障，工单处理时间不超过2小时。</t>
    <phoneticPr fontId="19" type="noConversion"/>
  </si>
  <si>
    <t>系统维护与故障处理</t>
    <phoneticPr fontId="19" type="noConversion"/>
  </si>
  <si>
    <r>
      <rPr>
        <b/>
        <sz val="11"/>
        <color rgb="FF000000"/>
        <rFont val="微软雅黑"/>
        <family val="2"/>
        <charset val="134"/>
      </rPr>
      <t>部门：流程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部</t>
    </r>
    <r>
      <rPr>
        <b/>
        <sz val="11"/>
        <color rgb="FF000000"/>
        <rFont val="Calibri"/>
        <family val="2"/>
      </rPr>
      <t xml:space="preserve">      </t>
    </r>
    <r>
      <rPr>
        <b/>
        <sz val="11"/>
        <color rgb="FF000000"/>
        <rFont val="微软雅黑"/>
        <family val="2"/>
        <charset val="134"/>
      </rPr>
      <t>姓名：王建峰</t>
    </r>
    <r>
      <rPr>
        <b/>
        <sz val="11"/>
        <color rgb="FF000000"/>
        <rFont val="Calibri"/>
        <family val="2"/>
      </rPr>
      <t xml:space="preserve">        </t>
    </r>
    <r>
      <rPr>
        <b/>
        <sz val="11"/>
        <color rgb="FF000000"/>
        <rFont val="微软雅黑"/>
        <family val="2"/>
        <charset val="134"/>
      </rPr>
      <t>职位：</t>
    </r>
    <r>
      <rPr>
        <b/>
        <sz val="11"/>
        <color rgb="FF000000"/>
        <rFont val="Calibri"/>
        <family val="2"/>
      </rPr>
      <t>IT</t>
    </r>
    <r>
      <rPr>
        <b/>
        <sz val="11"/>
        <color rgb="FF000000"/>
        <rFont val="微软雅黑"/>
        <family val="2"/>
        <charset val="134"/>
      </rPr>
      <t>工程师</t>
    </r>
    <r>
      <rPr>
        <b/>
        <sz val="11"/>
        <color rgb="FF000000"/>
        <rFont val="Calibri"/>
        <family val="2"/>
      </rPr>
      <t xml:space="preserve">          </t>
    </r>
    <r>
      <rPr>
        <b/>
        <sz val="11"/>
        <color rgb="FF000000"/>
        <rFont val="微软雅黑"/>
        <family val="2"/>
        <charset val="134"/>
      </rPr>
      <t>考评周期：</t>
    </r>
    <r>
      <rPr>
        <b/>
        <sz val="11"/>
        <color rgb="FF000000"/>
        <rFont val="Calibri"/>
        <family val="2"/>
      </rPr>
      <t>2025</t>
    </r>
    <r>
      <rPr>
        <b/>
        <sz val="11"/>
        <color rgb="FF000000"/>
        <rFont val="微软雅黑"/>
        <family val="2"/>
        <charset val="134"/>
      </rPr>
      <t>年</t>
    </r>
    <r>
      <rPr>
        <b/>
        <sz val="11"/>
        <color rgb="FF000000"/>
        <rFont val="Calibri"/>
        <family val="2"/>
      </rPr>
      <t xml:space="preserve">Q2                  </t>
    </r>
    <r>
      <rPr>
        <b/>
        <sz val="11"/>
        <color rgb="FF000000"/>
        <rFont val="微软雅黑"/>
        <family val="2"/>
        <charset val="134"/>
      </rPr>
      <t>填表日期：</t>
    </r>
    <r>
      <rPr>
        <b/>
        <sz val="11"/>
        <color rgb="FF000000"/>
        <rFont val="Calibri"/>
        <family val="2"/>
      </rPr>
      <t xml:space="preserve"> 2025</t>
    </r>
    <r>
      <rPr>
        <b/>
        <sz val="11"/>
        <color rgb="FF000000"/>
        <rFont val="微软雅黑"/>
        <family val="2"/>
        <charset val="134"/>
      </rPr>
      <t>年6月</t>
    </r>
    <r>
      <rPr>
        <b/>
        <sz val="11"/>
        <color rgb="FF000000"/>
        <rFont val="Calibri"/>
        <family val="2"/>
      </rPr>
      <t>30</t>
    </r>
    <r>
      <rPr>
        <b/>
        <sz val="11"/>
        <color rgb="FF000000"/>
        <rFont val="微软雅黑"/>
        <family val="2"/>
        <charset val="134"/>
      </rPr>
      <t>日</t>
    </r>
    <phoneticPr fontId="19" type="noConversion"/>
  </si>
  <si>
    <t>立体仓建设调研</t>
    <phoneticPr fontId="19" type="noConversion"/>
  </si>
  <si>
    <t>嘉善封测-自动化建设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</si>
</sst>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_ "/>
    <numFmt numFmtId="178" formatCode="yyyy&quot;年&quot;m&quot;月&quot;;@"/>
  </numFmts>
  <fonts count="33" x14ac:knownFonts="1">
    <font>
      <sz val="11"/>
      <color theme="1"/>
      <name val="宋体"/>
      <charset val="134"/>
      <scheme val="minor"/>
    </font>
    <font>
      <sz val="9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b/>
      <sz val="11"/>
      <color rgb="FF000000"/>
      <name val="微软雅黑"/>
      <family val="2"/>
      <charset val="134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宋体"/>
      <family val="3"/>
      <charset val="134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8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0"/>
      <name val="微软雅黑"/>
      <family val="2"/>
      <charset val="134"/>
    </font>
    <font>
      <sz val="12"/>
      <color theme="1"/>
      <name val="宋体"/>
      <family val="2"/>
      <charset val="134"/>
      <scheme val="minor"/>
    </font>
    <font>
      <sz val="9"/>
      <color rgb="FF000000"/>
      <name val="Calibri"/>
      <family val="2"/>
      <charset val="134"/>
    </font>
    <font>
      <sz val="11"/>
      <color rgb="FF000000"/>
      <name val="宋体"/>
      <family val="3"/>
      <charset val="134"/>
    </font>
    <font>
      <sz val="9"/>
      <name val="宋体"/>
      <charset val="134"/>
      <scheme val="minor"/>
    </font>
    <font>
      <sz val="9"/>
      <name val="宋体"/>
      <family val="2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11"/>
      <color rgb="FF000000"/>
      <name val="Calibri"/>
      <family val="2"/>
      <charset val="134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sz val="9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">
    <xf numFmtId="0" fontId="0" fillId="0" borderId="0"/>
    <xf numFmtId="0" fontId="17" fillId="0" borderId="0"/>
    <xf numFmtId="0" fontId="15" fillId="5" borderId="1" applyNumberFormat="0" applyProtection="0">
      <alignment horizontal="left"/>
    </xf>
    <xf numFmtId="0" fontId="15" fillId="2" borderId="1" applyNumberFormat="0" applyProtection="0">
      <alignment horizontal="left"/>
    </xf>
    <xf numFmtId="0" fontId="17" fillId="0" borderId="0"/>
    <xf numFmtId="0" fontId="16" fillId="0" borderId="0"/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0" fontId="16" fillId="0" borderId="0"/>
    <xf numFmtId="0" fontId="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22" fillId="0" borderId="0">
      <alignment vertical="center"/>
    </xf>
    <xf numFmtId="0" fontId="17" fillId="0" borderId="0"/>
    <xf numFmtId="0" fontId="4" fillId="0" borderId="0">
      <alignment vertical="center"/>
    </xf>
  </cellStyleXfs>
  <cellXfs count="73">
    <xf numFmtId="0" fontId="0" fillId="0" borderId="0" xfId="0"/>
    <xf numFmtId="0" fontId="11" fillId="0" borderId="0" xfId="6" applyFont="1" applyAlignment="1"/>
    <xf numFmtId="0" fontId="12" fillId="0" borderId="0" xfId="6" applyFont="1">
      <alignment vertical="center"/>
    </xf>
    <xf numFmtId="0" fontId="7" fillId="3" borderId="1" xfId="6" applyFont="1" applyFill="1" applyBorder="1" applyAlignment="1">
      <alignment horizontal="center" vertical="center" wrapText="1"/>
    </xf>
    <xf numFmtId="9" fontId="8" fillId="0" borderId="1" xfId="6" applyNumberFormat="1" applyFont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176" fontId="8" fillId="0" borderId="1" xfId="6" applyNumberFormat="1" applyFont="1" applyBorder="1" applyAlignment="1">
      <alignment horizontal="left" vertical="center" wrapText="1"/>
    </xf>
    <xf numFmtId="176" fontId="8" fillId="0" borderId="1" xfId="6" applyNumberFormat="1" applyFont="1" applyBorder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4" fillId="3" borderId="1" xfId="5" applyFont="1" applyFill="1" applyBorder="1" applyAlignment="1">
      <alignment horizontal="center" vertical="center" wrapText="1"/>
    </xf>
    <xf numFmtId="177" fontId="9" fillId="0" borderId="1" xfId="5" applyNumberFormat="1" applyFont="1" applyBorder="1" applyAlignment="1">
      <alignment horizontal="center" vertical="center" wrapText="1"/>
    </xf>
    <xf numFmtId="177" fontId="8" fillId="0" borderId="1" xfId="5" applyNumberFormat="1" applyFont="1" applyBorder="1" applyAlignment="1">
      <alignment horizontal="center" vertical="center" wrapText="1"/>
    </xf>
    <xf numFmtId="0" fontId="7" fillId="3" borderId="1" xfId="5" applyFont="1" applyFill="1" applyBorder="1" applyAlignment="1">
      <alignment horizontal="center" vertical="center" wrapText="1"/>
    </xf>
    <xf numFmtId="9" fontId="8" fillId="0" borderId="1" xfId="5" applyNumberFormat="1" applyFont="1" applyBorder="1" applyAlignment="1">
      <alignment horizontal="center" vertical="center" wrapText="1"/>
    </xf>
    <xf numFmtId="0" fontId="6" fillId="0" borderId="0" xfId="5" applyFont="1"/>
    <xf numFmtId="0" fontId="10" fillId="0" borderId="0" xfId="6" applyFont="1" applyAlignment="1">
      <alignment horizontal="center" vertical="center"/>
    </xf>
    <xf numFmtId="0" fontId="21" fillId="0" borderId="1" xfId="15" applyFont="1" applyBorder="1" applyAlignment="1">
      <alignment vertical="center" wrapText="1"/>
    </xf>
    <xf numFmtId="9" fontId="20" fillId="0" borderId="2" xfId="5" applyNumberFormat="1" applyFont="1" applyBorder="1" applyAlignment="1">
      <alignment horizontal="center" vertical="center" wrapText="1"/>
    </xf>
    <xf numFmtId="177" fontId="9" fillId="6" borderId="1" xfId="5" applyNumberFormat="1" applyFont="1" applyFill="1" applyBorder="1" applyAlignment="1">
      <alignment horizontal="center" vertical="center" wrapText="1"/>
    </xf>
    <xf numFmtId="9" fontId="8" fillId="6" borderId="1" xfId="6" applyNumberFormat="1" applyFont="1" applyFill="1" applyBorder="1" applyAlignment="1">
      <alignment horizontal="center" vertical="center" wrapText="1"/>
    </xf>
    <xf numFmtId="0" fontId="10" fillId="0" borderId="0" xfId="6" applyFont="1" applyAlignment="1">
      <alignment horizontal="center" vertical="center"/>
    </xf>
    <xf numFmtId="0" fontId="8" fillId="0" borderId="1" xfId="6" applyFont="1" applyBorder="1" applyAlignment="1">
      <alignment horizontal="left" vertical="center" wrapText="1"/>
    </xf>
    <xf numFmtId="0" fontId="21" fillId="0" borderId="1" xfId="4" applyFont="1" applyBorder="1" applyAlignment="1">
      <alignment vertical="center" wrapText="1"/>
    </xf>
    <xf numFmtId="9" fontId="20" fillId="0" borderId="2" xfId="0" applyNumberFormat="1" applyFont="1" applyBorder="1" applyAlignment="1" applyProtection="1">
      <alignment horizontal="center" vertical="center" wrapText="1"/>
    </xf>
    <xf numFmtId="9" fontId="20" fillId="0" borderId="3" xfId="0" applyNumberFormat="1" applyFont="1" applyBorder="1" applyAlignment="1" applyProtection="1">
      <alignment horizontal="center" vertical="center" wrapText="1"/>
    </xf>
    <xf numFmtId="9" fontId="8" fillId="0" borderId="0" xfId="6" applyNumberFormat="1" applyFont="1" applyBorder="1" applyAlignment="1">
      <alignment horizontal="center" vertical="center" wrapText="1"/>
    </xf>
    <xf numFmtId="9" fontId="11" fillId="0" borderId="1" xfId="6" applyNumberFormat="1" applyFont="1" applyBorder="1" applyAlignment="1">
      <alignment horizontal="center" vertical="center"/>
    </xf>
    <xf numFmtId="9" fontId="7" fillId="0" borderId="1" xfId="6" applyNumberFormat="1" applyFont="1" applyBorder="1" applyAlignment="1">
      <alignment horizontal="center" vertical="center" wrapText="1"/>
    </xf>
    <xf numFmtId="0" fontId="10" fillId="0" borderId="0" xfId="6" applyFont="1" applyAlignment="1">
      <alignment horizontal="center" vertical="center"/>
    </xf>
    <xf numFmtId="0" fontId="20" fillId="0" borderId="1" xfId="6" applyFont="1" applyBorder="1" applyAlignment="1">
      <alignment horizontal="left" vertical="center" wrapText="1"/>
    </xf>
    <xf numFmtId="9" fontId="20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9" fontId="20" fillId="0" borderId="1" xfId="6" applyNumberFormat="1" applyFont="1" applyBorder="1" applyAlignment="1">
      <alignment horizontal="center" vertical="center" wrapText="1"/>
    </xf>
    <xf numFmtId="0" fontId="30" fillId="0" borderId="1" xfId="6" applyFont="1" applyBorder="1" applyAlignment="1">
      <alignment horizontal="left" vertical="center" wrapText="1"/>
    </xf>
    <xf numFmtId="9" fontId="20" fillId="0" borderId="2" xfId="5" applyNumberFormat="1" applyFont="1" applyBorder="1" applyAlignment="1" applyProtection="1">
      <alignment horizontal="center" vertical="center" wrapText="1"/>
    </xf>
    <xf numFmtId="0" fontId="27" fillId="0" borderId="2" xfId="5" applyFont="1" applyBorder="1" applyAlignment="1">
      <alignment horizontal="left" vertical="center" wrapText="1"/>
    </xf>
    <xf numFmtId="0" fontId="27" fillId="0" borderId="5" xfId="5" applyFont="1" applyBorder="1" applyAlignment="1">
      <alignment horizontal="left" vertical="center" wrapText="1"/>
    </xf>
    <xf numFmtId="0" fontId="28" fillId="0" borderId="4" xfId="5" applyFont="1" applyBorder="1" applyAlignment="1">
      <alignment horizontal="left" vertical="center" wrapText="1"/>
    </xf>
    <xf numFmtId="178" fontId="18" fillId="0" borderId="6" xfId="16" applyNumberFormat="1" applyFont="1" applyFill="1" applyBorder="1" applyAlignment="1" applyProtection="1">
      <alignment horizontal="center" vertical="center" wrapText="1"/>
    </xf>
    <xf numFmtId="0" fontId="10" fillId="0" borderId="0" xfId="6" applyFont="1" applyAlignment="1">
      <alignment horizontal="center" vertical="center"/>
    </xf>
    <xf numFmtId="0" fontId="5" fillId="0" borderId="0" xfId="6" applyFont="1" applyAlignment="1">
      <alignment horizontal="left" vertical="center"/>
    </xf>
    <xf numFmtId="0" fontId="13" fillId="0" borderId="0" xfId="6" applyFont="1" applyAlignment="1">
      <alignment horizontal="left" vertical="center"/>
    </xf>
    <xf numFmtId="0" fontId="7" fillId="0" borderId="1" xfId="6" applyFont="1" applyBorder="1" applyAlignment="1">
      <alignment horizontal="center" vertical="center" wrapText="1"/>
    </xf>
    <xf numFmtId="0" fontId="20" fillId="2" borderId="1" xfId="6" applyFont="1" applyFill="1" applyBorder="1" applyAlignment="1">
      <alignment horizontal="left" vertical="center" wrapText="1"/>
    </xf>
    <xf numFmtId="0" fontId="8" fillId="2" borderId="1" xfId="6" applyFont="1" applyFill="1" applyBorder="1" applyAlignment="1">
      <alignment horizontal="left" vertical="center" wrapText="1"/>
    </xf>
    <xf numFmtId="0" fontId="8" fillId="0" borderId="1" xfId="6" applyFont="1" applyBorder="1" applyAlignment="1">
      <alignment horizontal="center" vertical="center" wrapText="1"/>
    </xf>
    <xf numFmtId="0" fontId="7" fillId="4" borderId="1" xfId="6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left" vertical="center" wrapText="1"/>
    </xf>
    <xf numFmtId="0" fontId="23" fillId="0" borderId="1" xfId="6" applyFont="1" applyBorder="1" applyAlignment="1">
      <alignment horizontal="left" vertical="center" wrapText="1"/>
    </xf>
    <xf numFmtId="0" fontId="8" fillId="0" borderId="1" xfId="6" applyFont="1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 wrapText="1"/>
    </xf>
    <xf numFmtId="0" fontId="29" fillId="0" borderId="0" xfId="6" applyFont="1" applyAlignment="1">
      <alignment horizontal="left" vertical="center"/>
    </xf>
    <xf numFmtId="0" fontId="23" fillId="2" borderId="1" xfId="6" applyFont="1" applyFill="1" applyBorder="1" applyAlignment="1">
      <alignment horizontal="left" vertical="center" wrapText="1"/>
    </xf>
    <xf numFmtId="0" fontId="29" fillId="0" borderId="7" xfId="6" applyFont="1" applyBorder="1" applyAlignment="1">
      <alignment horizontal="left" vertical="center"/>
    </xf>
    <xf numFmtId="0" fontId="1" fillId="2" borderId="1" xfId="6" applyFont="1" applyFill="1" applyBorder="1" applyAlignment="1">
      <alignment horizontal="left" vertical="center" wrapText="1"/>
    </xf>
    <xf numFmtId="9" fontId="20" fillId="0" borderId="1" xfId="6" applyNumberFormat="1" applyFont="1" applyBorder="1" applyAlignment="1">
      <alignment horizontal="left" vertical="center" wrapText="1"/>
    </xf>
    <xf numFmtId="9" fontId="8" fillId="0" borderId="1" xfId="6" applyNumberFormat="1" applyFont="1" applyBorder="1" applyAlignment="1">
      <alignment horizontal="center" vertical="center"/>
    </xf>
    <xf numFmtId="0" fontId="31" fillId="0" borderId="1" xfId="15" applyFont="1" applyBorder="1" applyAlignment="1">
      <alignment vertical="center" wrapText="1"/>
    </xf>
    <xf numFmtId="9" fontId="1" fillId="0" borderId="1" xfId="6" applyNumberFormat="1" applyFont="1" applyBorder="1" applyAlignment="1">
      <alignment horizontal="center" vertical="center" wrapText="1"/>
    </xf>
    <xf numFmtId="0" fontId="1" fillId="0" borderId="8" xfId="5" applyFont="1" applyBorder="1" applyAlignment="1">
      <alignment horizontal="left" vertical="center" wrapText="1"/>
    </xf>
    <xf numFmtId="0" fontId="1" fillId="0" borderId="6" xfId="5" applyFont="1" applyBorder="1" applyAlignment="1">
      <alignment horizontal="left" vertical="center" wrapText="1"/>
    </xf>
    <xf numFmtId="0" fontId="1" fillId="0" borderId="2" xfId="5" applyFont="1" applyBorder="1" applyAlignment="1">
      <alignment horizontal="left" vertical="center" wrapText="1"/>
    </xf>
    <xf numFmtId="0" fontId="1" fillId="0" borderId="4" xfId="5" applyFont="1" applyBorder="1" applyAlignment="1">
      <alignment horizontal="left" vertical="center" wrapText="1"/>
    </xf>
    <xf numFmtId="0" fontId="1" fillId="0" borderId="5" xfId="5" applyFont="1" applyBorder="1" applyAlignment="1">
      <alignment horizontal="left" vertical="center" wrapText="1"/>
    </xf>
    <xf numFmtId="0" fontId="32" fillId="0" borderId="4" xfId="5" applyFont="1" applyBorder="1" applyAlignment="1">
      <alignment horizontal="left" vertical="center" wrapText="1"/>
    </xf>
    <xf numFmtId="0" fontId="8" fillId="0" borderId="9" xfId="6" applyFont="1" applyBorder="1" applyAlignment="1">
      <alignment horizontal="center" vertical="center" wrapText="1"/>
    </xf>
    <xf numFmtId="0" fontId="8" fillId="0" borderId="10" xfId="6" applyFont="1" applyBorder="1" applyAlignment="1">
      <alignment horizontal="center" vertical="center" wrapText="1"/>
    </xf>
    <xf numFmtId="0" fontId="8" fillId="0" borderId="11" xfId="6" applyFont="1" applyBorder="1" applyAlignment="1">
      <alignment horizontal="center" vertical="center" wrapText="1"/>
    </xf>
  </cellXfs>
  <cellStyles count="17">
    <cellStyle name="0,0_x000d__x000a_NA_x000d__x000a_" xfId="1"/>
    <cellStyle name="background-color:LightSkyBlue; color:Black; font:font-family:Arial; font-size:10pt; font-weight:normal; font-style:normal; ; font-family:Arial; font-size:10pt; font-weight:normal; font-style:normal; border-collapse:separate; border-left:Black 1px solid; b" xfId="2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3"/>
    <cellStyle name="常规" xfId="0" builtinId="0"/>
    <cellStyle name="常规 2" xfId="4"/>
    <cellStyle name="常规 2 2" xfId="5"/>
    <cellStyle name="常规 2 2 2" xfId="15"/>
    <cellStyle name="常规 2 3" xfId="16"/>
    <cellStyle name="常规 3" xfId="6"/>
    <cellStyle name="常规 3 2" xfId="7"/>
    <cellStyle name="常规 3 3" xfId="8"/>
    <cellStyle name="常规 4" xfId="9"/>
    <cellStyle name="常规 5" xfId="10"/>
    <cellStyle name="常规 6" xfId="11"/>
    <cellStyle name="常规 7" xfId="12"/>
    <cellStyle name="常规 8" xfId="13"/>
    <cellStyle name="常规 9" xfId="1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36"/>
  <sheetViews>
    <sheetView showGridLines="0" tabSelected="1" topLeftCell="A7" workbookViewId="0">
      <selection activeCell="G13" sqref="G13"/>
    </sheetView>
  </sheetViews>
  <sheetFormatPr defaultColWidth="8.625" defaultRowHeight="15" customHeight="1" x14ac:dyDescent="0.25"/>
  <cols>
    <col min="1" max="1" width="9" style="1" customWidth="1"/>
    <col min="2" max="2" width="17.5" style="1" customWidth="1"/>
    <col min="3" max="3" width="11.375" style="1" customWidth="1"/>
    <col min="4" max="5" width="31.5" style="1" customWidth="1"/>
    <col min="6" max="6" width="58.25" style="1" customWidth="1"/>
    <col min="7" max="7" width="16.125" style="1" customWidth="1"/>
    <col min="8" max="8" width="11.375" style="1" customWidth="1"/>
    <col min="9" max="10" width="11.5" style="15" customWidth="1"/>
    <col min="11" max="11" width="24" style="1" customWidth="1"/>
    <col min="12" max="42" width="8.625" style="1"/>
    <col min="43" max="16384" width="8.625" style="2"/>
  </cols>
  <sheetData>
    <row r="1" spans="1:11" s="1" customFormat="1" ht="23.25" customHeight="1" x14ac:dyDescent="0.25">
      <c r="A1" s="44" t="s">
        <v>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1" customFormat="1" ht="5.25" customHeight="1" x14ac:dyDescent="0.25">
      <c r="A2" s="16"/>
      <c r="B2" s="16"/>
      <c r="C2" s="16"/>
      <c r="D2" s="16"/>
      <c r="E2" s="16"/>
      <c r="F2" s="16"/>
      <c r="G2" s="16"/>
      <c r="H2" s="16"/>
      <c r="I2" s="9"/>
      <c r="J2" s="9"/>
      <c r="K2" s="16"/>
    </row>
    <row r="3" spans="1:11" s="1" customFormat="1" ht="16.5" customHeight="1" x14ac:dyDescent="0.25">
      <c r="A3" s="45" t="s">
        <v>25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s="1" customFormat="1" ht="20.25" customHeight="1" x14ac:dyDescent="0.25">
      <c r="A4" s="47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10" t="s">
        <v>0</v>
      </c>
      <c r="J4" s="10" t="s">
        <v>1</v>
      </c>
      <c r="K4" s="3" t="s">
        <v>12</v>
      </c>
    </row>
    <row r="5" spans="1:11" s="1" customFormat="1" ht="27.75" customHeight="1" x14ac:dyDescent="0.25">
      <c r="A5" s="47"/>
      <c r="B5" s="5" t="s">
        <v>13</v>
      </c>
      <c r="C5" s="48" t="s">
        <v>26</v>
      </c>
      <c r="D5" s="49"/>
      <c r="E5" s="49"/>
      <c r="F5" s="49"/>
      <c r="G5" s="49"/>
      <c r="H5" s="49"/>
      <c r="I5" s="49"/>
      <c r="J5" s="49"/>
      <c r="K5" s="49"/>
    </row>
    <row r="6" spans="1:11" s="1" customFormat="1" ht="66" x14ac:dyDescent="0.25">
      <c r="A6" s="47"/>
      <c r="B6" s="50">
        <v>1</v>
      </c>
      <c r="C6" s="50" t="s">
        <v>14</v>
      </c>
      <c r="D6" s="23" t="s">
        <v>27</v>
      </c>
      <c r="E6" s="24">
        <v>0.1</v>
      </c>
      <c r="F6" s="23" t="s">
        <v>28</v>
      </c>
      <c r="G6" s="4" t="s">
        <v>29</v>
      </c>
      <c r="H6" s="24">
        <v>0.1</v>
      </c>
      <c r="I6" s="11"/>
      <c r="J6" s="19">
        <f>I6*E6</f>
        <v>0</v>
      </c>
      <c r="K6" s="6"/>
    </row>
    <row r="7" spans="1:11" s="1" customFormat="1" ht="66" x14ac:dyDescent="0.25">
      <c r="A7" s="47"/>
      <c r="B7" s="50"/>
      <c r="C7" s="50"/>
      <c r="D7" s="23" t="s">
        <v>30</v>
      </c>
      <c r="E7" s="24">
        <v>0.1</v>
      </c>
      <c r="F7" s="23" t="s">
        <v>31</v>
      </c>
      <c r="G7" s="4" t="s">
        <v>29</v>
      </c>
      <c r="H7" s="24">
        <v>0.1</v>
      </c>
      <c r="I7" s="11"/>
      <c r="J7" s="19">
        <f t="shared" ref="J7:J14" si="0">I7*E7</f>
        <v>0</v>
      </c>
      <c r="K7" s="7"/>
    </row>
    <row r="8" spans="1:11" s="1" customFormat="1" ht="33" x14ac:dyDescent="0.25">
      <c r="A8" s="47"/>
      <c r="B8" s="50"/>
      <c r="C8" s="50"/>
      <c r="D8" s="23" t="s">
        <v>32</v>
      </c>
      <c r="E8" s="24">
        <v>0.05</v>
      </c>
      <c r="F8" s="23" t="s">
        <v>33</v>
      </c>
      <c r="G8" s="4" t="s">
        <v>29</v>
      </c>
      <c r="H8" s="24">
        <v>0.05</v>
      </c>
      <c r="I8" s="11"/>
      <c r="J8" s="19">
        <f t="shared" si="0"/>
        <v>0</v>
      </c>
      <c r="K8" s="6"/>
    </row>
    <row r="9" spans="1:11" s="1" customFormat="1" ht="33" x14ac:dyDescent="0.25">
      <c r="A9" s="47"/>
      <c r="B9" s="50"/>
      <c r="C9" s="50"/>
      <c r="D9" s="23" t="s">
        <v>34</v>
      </c>
      <c r="E9" s="25">
        <v>0.1</v>
      </c>
      <c r="F9" s="23" t="s">
        <v>33</v>
      </c>
      <c r="G9" s="4" t="s">
        <v>29</v>
      </c>
      <c r="H9" s="25">
        <v>0.1</v>
      </c>
      <c r="I9" s="11"/>
      <c r="J9" s="19">
        <f t="shared" si="0"/>
        <v>0</v>
      </c>
      <c r="K9" s="6"/>
    </row>
    <row r="10" spans="1:11" s="1" customFormat="1" ht="38.25" customHeight="1" x14ac:dyDescent="0.25">
      <c r="A10" s="47"/>
      <c r="B10" s="50"/>
      <c r="C10" s="50"/>
      <c r="D10" s="23" t="s">
        <v>35</v>
      </c>
      <c r="E10" s="25">
        <v>0.05</v>
      </c>
      <c r="F10" s="23" t="s">
        <v>33</v>
      </c>
      <c r="G10" s="4" t="s">
        <v>29</v>
      </c>
      <c r="H10" s="25">
        <v>0.05</v>
      </c>
      <c r="I10" s="12"/>
      <c r="J10" s="19">
        <f t="shared" si="0"/>
        <v>0</v>
      </c>
      <c r="K10" s="8"/>
    </row>
    <row r="11" spans="1:11" s="1" customFormat="1" ht="16.5" x14ac:dyDescent="0.25">
      <c r="A11" s="47"/>
      <c r="B11" s="50">
        <v>2</v>
      </c>
      <c r="C11" s="50" t="s">
        <v>15</v>
      </c>
      <c r="D11" s="17" t="s">
        <v>42</v>
      </c>
      <c r="E11" s="4">
        <v>0.15</v>
      </c>
      <c r="F11" s="17" t="s">
        <v>41</v>
      </c>
      <c r="G11" s="4" t="s">
        <v>40</v>
      </c>
      <c r="H11" s="4">
        <v>0.15</v>
      </c>
      <c r="I11" s="12"/>
      <c r="J11" s="19">
        <f t="shared" si="0"/>
        <v>0</v>
      </c>
      <c r="K11" s="8"/>
    </row>
    <row r="12" spans="1:11" s="1" customFormat="1" ht="16.5" x14ac:dyDescent="0.25">
      <c r="A12" s="47"/>
      <c r="B12" s="50"/>
      <c r="C12" s="50"/>
      <c r="D12" s="17" t="s">
        <v>36</v>
      </c>
      <c r="E12" s="4">
        <v>0.2</v>
      </c>
      <c r="F12" s="17" t="s">
        <v>37</v>
      </c>
      <c r="G12" s="4" t="s">
        <v>29</v>
      </c>
      <c r="H12" s="4">
        <v>0.2</v>
      </c>
      <c r="I12" s="12"/>
      <c r="J12" s="19">
        <f t="shared" si="0"/>
        <v>0</v>
      </c>
      <c r="K12" s="8"/>
    </row>
    <row r="13" spans="1:11" s="1" customFormat="1" ht="16.5" x14ac:dyDescent="0.25">
      <c r="A13" s="47"/>
      <c r="B13" s="50"/>
      <c r="C13" s="50"/>
      <c r="D13" s="17" t="s">
        <v>38</v>
      </c>
      <c r="E13" s="4">
        <v>0.2</v>
      </c>
      <c r="F13" s="17" t="s">
        <v>39</v>
      </c>
      <c r="G13" s="4" t="s">
        <v>40</v>
      </c>
      <c r="H13" s="4">
        <v>0.2</v>
      </c>
      <c r="I13" s="12"/>
      <c r="J13" s="19">
        <f t="shared" si="0"/>
        <v>0</v>
      </c>
      <c r="K13" s="8"/>
    </row>
    <row r="14" spans="1:11" s="1" customFormat="1" ht="16.5" x14ac:dyDescent="0.25">
      <c r="A14" s="47"/>
      <c r="B14" s="50"/>
      <c r="C14" s="50"/>
      <c r="D14" s="17" t="s">
        <v>43</v>
      </c>
      <c r="E14" s="4">
        <v>0.05</v>
      </c>
      <c r="F14" s="17" t="s">
        <v>44</v>
      </c>
      <c r="G14" s="4" t="s">
        <v>40</v>
      </c>
      <c r="H14" s="4">
        <v>0.05</v>
      </c>
      <c r="I14" s="11"/>
      <c r="J14" s="19">
        <f t="shared" si="0"/>
        <v>0</v>
      </c>
      <c r="K14" s="8"/>
    </row>
    <row r="15" spans="1:11" s="1" customFormat="1" ht="20.100000000000001" customHeight="1" x14ac:dyDescent="0.25">
      <c r="A15" s="47"/>
      <c r="B15" s="51" t="s">
        <v>2</v>
      </c>
      <c r="C15" s="51"/>
      <c r="D15" s="51"/>
      <c r="E15" s="51"/>
      <c r="F15" s="51"/>
      <c r="G15" s="51"/>
      <c r="H15" s="20">
        <f>SUM(H6:H14)</f>
        <v>1</v>
      </c>
      <c r="I15" s="11"/>
      <c r="J15" s="19">
        <f>SUM(J6:J14)</f>
        <v>0</v>
      </c>
      <c r="K15" s="8"/>
    </row>
    <row r="16" spans="1:11" s="1" customFormat="1" ht="20.25" customHeight="1" x14ac:dyDescent="0.25">
      <c r="A16" s="47" t="s">
        <v>24</v>
      </c>
      <c r="B16" s="3" t="s">
        <v>5</v>
      </c>
      <c r="C16" s="3" t="s">
        <v>6</v>
      </c>
      <c r="D16" s="3" t="s">
        <v>7</v>
      </c>
      <c r="E16" s="3" t="s">
        <v>8</v>
      </c>
      <c r="F16" s="3" t="s">
        <v>16</v>
      </c>
      <c r="G16" s="3" t="s">
        <v>10</v>
      </c>
      <c r="H16" s="3" t="s">
        <v>17</v>
      </c>
      <c r="I16" s="13"/>
      <c r="J16" s="13"/>
      <c r="K16" s="3" t="s">
        <v>12</v>
      </c>
    </row>
    <row r="17" spans="1:11" s="1" customFormat="1" ht="29.25" customHeight="1" x14ac:dyDescent="0.25">
      <c r="A17" s="47"/>
      <c r="B17" s="5" t="s">
        <v>13</v>
      </c>
      <c r="C17" s="49"/>
      <c r="D17" s="49"/>
      <c r="E17" s="49"/>
      <c r="F17" s="49"/>
      <c r="G17" s="49"/>
      <c r="H17" s="49"/>
      <c r="I17" s="49"/>
      <c r="J17" s="49"/>
      <c r="K17" s="49"/>
    </row>
    <row r="18" spans="1:11" s="1" customFormat="1" ht="66" x14ac:dyDescent="0.25">
      <c r="A18" s="47"/>
      <c r="B18" s="50">
        <v>1</v>
      </c>
      <c r="C18" s="50" t="s">
        <v>14</v>
      </c>
      <c r="D18" s="23" t="s">
        <v>27</v>
      </c>
      <c r="E18" s="24">
        <v>0.1</v>
      </c>
      <c r="F18" s="23" t="s">
        <v>28</v>
      </c>
      <c r="G18" s="4"/>
      <c r="H18" s="24">
        <v>0.1</v>
      </c>
      <c r="I18" s="14"/>
      <c r="J18" s="14"/>
      <c r="K18" s="8"/>
    </row>
    <row r="19" spans="1:11" s="1" customFormat="1" ht="66" x14ac:dyDescent="0.25">
      <c r="A19" s="47"/>
      <c r="B19" s="50"/>
      <c r="C19" s="50"/>
      <c r="D19" s="23" t="s">
        <v>30</v>
      </c>
      <c r="E19" s="24">
        <v>0.1</v>
      </c>
      <c r="F19" s="23" t="s">
        <v>31</v>
      </c>
      <c r="G19" s="4"/>
      <c r="H19" s="24">
        <v>0.1</v>
      </c>
      <c r="I19" s="14"/>
      <c r="J19" s="14"/>
      <c r="K19" s="8"/>
    </row>
    <row r="20" spans="1:11" s="1" customFormat="1" ht="33" x14ac:dyDescent="0.25">
      <c r="A20" s="47"/>
      <c r="B20" s="50"/>
      <c r="C20" s="50"/>
      <c r="D20" s="23" t="s">
        <v>32</v>
      </c>
      <c r="E20" s="24">
        <v>0.05</v>
      </c>
      <c r="F20" s="23" t="s">
        <v>33</v>
      </c>
      <c r="G20" s="4"/>
      <c r="H20" s="24">
        <v>0.05</v>
      </c>
      <c r="I20" s="4"/>
      <c r="J20" s="4"/>
      <c r="K20" s="8"/>
    </row>
    <row r="21" spans="1:11" s="1" customFormat="1" ht="33" x14ac:dyDescent="0.25">
      <c r="A21" s="47"/>
      <c r="B21" s="50"/>
      <c r="C21" s="50"/>
      <c r="D21" s="23" t="s">
        <v>34</v>
      </c>
      <c r="E21" s="25">
        <v>0.05</v>
      </c>
      <c r="F21" s="23" t="s">
        <v>33</v>
      </c>
      <c r="G21" s="4"/>
      <c r="H21" s="25">
        <v>0.05</v>
      </c>
      <c r="I21" s="4"/>
      <c r="J21" s="4"/>
      <c r="K21" s="8"/>
    </row>
    <row r="22" spans="1:11" s="1" customFormat="1" ht="33" x14ac:dyDescent="0.25">
      <c r="A22" s="47"/>
      <c r="B22" s="50"/>
      <c r="C22" s="50"/>
      <c r="D22" s="23" t="s">
        <v>35</v>
      </c>
      <c r="E22" s="25">
        <v>0.05</v>
      </c>
      <c r="F22" s="23" t="s">
        <v>33</v>
      </c>
      <c r="G22" s="4"/>
      <c r="H22" s="25">
        <v>0.05</v>
      </c>
      <c r="I22" s="4"/>
      <c r="J22" s="4"/>
      <c r="K22" s="8"/>
    </row>
    <row r="23" spans="1:11" s="1" customFormat="1" ht="16.5" x14ac:dyDescent="0.25">
      <c r="A23" s="47"/>
      <c r="B23" s="50">
        <v>2</v>
      </c>
      <c r="C23" s="50" t="s">
        <v>15</v>
      </c>
      <c r="D23" s="17" t="s">
        <v>42</v>
      </c>
      <c r="E23" s="28">
        <v>0.15</v>
      </c>
      <c r="F23" s="17" t="s">
        <v>45</v>
      </c>
      <c r="G23" s="4"/>
      <c r="H23" s="28">
        <v>0.15</v>
      </c>
      <c r="I23" s="4"/>
      <c r="J23" s="4"/>
      <c r="K23" s="8"/>
    </row>
    <row r="24" spans="1:11" s="1" customFormat="1" ht="16.5" x14ac:dyDescent="0.25">
      <c r="A24" s="47"/>
      <c r="B24" s="50"/>
      <c r="C24" s="50"/>
      <c r="D24" s="17" t="s">
        <v>36</v>
      </c>
      <c r="E24" s="4">
        <v>0.15</v>
      </c>
      <c r="F24" s="17" t="s">
        <v>46</v>
      </c>
      <c r="G24" s="4"/>
      <c r="H24" s="4">
        <v>0.15</v>
      </c>
      <c r="I24" s="4"/>
      <c r="J24" s="4"/>
      <c r="K24" s="8"/>
    </row>
    <row r="25" spans="1:11" s="1" customFormat="1" ht="16.5" x14ac:dyDescent="0.25">
      <c r="A25" s="47"/>
      <c r="B25" s="50"/>
      <c r="C25" s="50"/>
      <c r="D25" s="17" t="s">
        <v>48</v>
      </c>
      <c r="E25" s="4">
        <v>0.15</v>
      </c>
      <c r="F25" s="17" t="s">
        <v>47</v>
      </c>
      <c r="G25" s="4"/>
      <c r="H25" s="4">
        <v>0.15</v>
      </c>
      <c r="I25" s="4"/>
      <c r="J25" s="4"/>
      <c r="K25" s="8"/>
    </row>
    <row r="26" spans="1:11" s="1" customFormat="1" ht="16.5" x14ac:dyDescent="0.25">
      <c r="A26" s="47"/>
      <c r="B26" s="50"/>
      <c r="C26" s="50"/>
      <c r="D26" s="17" t="s">
        <v>52</v>
      </c>
      <c r="E26" s="27">
        <v>0.1</v>
      </c>
      <c r="F26" s="17" t="s">
        <v>50</v>
      </c>
      <c r="G26" s="26"/>
      <c r="H26" s="27">
        <v>0.1</v>
      </c>
      <c r="I26" s="4"/>
      <c r="J26" s="4"/>
      <c r="K26" s="8"/>
    </row>
    <row r="27" spans="1:11" s="1" customFormat="1" ht="16.5" x14ac:dyDescent="0.25">
      <c r="A27" s="47"/>
      <c r="B27" s="50"/>
      <c r="C27" s="50"/>
      <c r="D27" s="17" t="s">
        <v>53</v>
      </c>
      <c r="E27" s="27">
        <v>0.05</v>
      </c>
      <c r="F27" s="17" t="s">
        <v>51</v>
      </c>
      <c r="G27" s="4"/>
      <c r="H27" s="27">
        <v>0.05</v>
      </c>
      <c r="I27" s="4"/>
      <c r="J27" s="4"/>
      <c r="K27" s="8"/>
    </row>
    <row r="28" spans="1:11" s="1" customFormat="1" ht="16.5" x14ac:dyDescent="0.25">
      <c r="A28" s="47"/>
      <c r="B28" s="50"/>
      <c r="C28" s="50"/>
      <c r="D28" s="17" t="s">
        <v>49</v>
      </c>
      <c r="E28" s="4">
        <v>0.05</v>
      </c>
      <c r="F28" s="17" t="s">
        <v>44</v>
      </c>
      <c r="G28" s="18"/>
      <c r="H28" s="4">
        <v>0.05</v>
      </c>
      <c r="I28" s="4"/>
      <c r="J28" s="4"/>
      <c r="K28" s="8"/>
    </row>
    <row r="29" spans="1:11" s="1" customFormat="1" ht="20.100000000000001" customHeight="1" x14ac:dyDescent="0.25">
      <c r="A29" s="47"/>
      <c r="B29" s="51" t="s">
        <v>2</v>
      </c>
      <c r="C29" s="51"/>
      <c r="D29" s="51"/>
      <c r="E29" s="51"/>
      <c r="F29" s="51"/>
      <c r="G29" s="51"/>
      <c r="H29" s="20">
        <f>SUM(H18:H28)</f>
        <v>1</v>
      </c>
      <c r="I29" s="4"/>
      <c r="J29" s="4"/>
      <c r="K29" s="8"/>
    </row>
    <row r="30" spans="1:11" s="1" customFormat="1" ht="21" customHeight="1" x14ac:dyDescent="0.25">
      <c r="A30" s="47" t="s">
        <v>18</v>
      </c>
      <c r="B30" s="52" t="s">
        <v>19</v>
      </c>
      <c r="C30" s="53"/>
      <c r="D30" s="54"/>
      <c r="E30" s="54"/>
      <c r="F30" s="54"/>
      <c r="G30" s="47" t="s">
        <v>20</v>
      </c>
      <c r="H30" s="47"/>
      <c r="I30" s="47"/>
      <c r="J30" s="47"/>
      <c r="K30" s="47"/>
    </row>
    <row r="31" spans="1:11" s="1" customFormat="1" ht="21" customHeight="1" x14ac:dyDescent="0.25">
      <c r="A31" s="47"/>
      <c r="B31" s="52"/>
      <c r="C31" s="54"/>
      <c r="D31" s="54"/>
      <c r="E31" s="54"/>
      <c r="F31" s="54"/>
      <c r="G31" s="47"/>
      <c r="H31" s="47"/>
      <c r="I31" s="47"/>
      <c r="J31" s="47"/>
      <c r="K31" s="47"/>
    </row>
    <row r="32" spans="1:11" s="1" customFormat="1" ht="3" customHeight="1" x14ac:dyDescent="0.25">
      <c r="A32" s="47"/>
      <c r="B32" s="52"/>
      <c r="C32" s="54"/>
      <c r="D32" s="54"/>
      <c r="E32" s="54"/>
      <c r="F32" s="54"/>
      <c r="G32" s="47"/>
      <c r="H32" s="47"/>
      <c r="I32" s="47"/>
      <c r="J32" s="47"/>
      <c r="K32" s="47"/>
    </row>
    <row r="33" spans="1:11" s="1" customFormat="1" ht="17.25" customHeight="1" x14ac:dyDescent="0.25">
      <c r="A33" s="47"/>
      <c r="B33" s="55" t="s">
        <v>23</v>
      </c>
      <c r="C33" s="54"/>
      <c r="D33" s="54"/>
      <c r="E33" s="54"/>
      <c r="F33" s="54"/>
      <c r="G33" s="47" t="s">
        <v>21</v>
      </c>
      <c r="H33" s="47"/>
      <c r="I33" s="47"/>
      <c r="J33" s="47"/>
      <c r="K33" s="47"/>
    </row>
    <row r="34" spans="1:11" s="1" customFormat="1" ht="17.25" customHeight="1" x14ac:dyDescent="0.25">
      <c r="A34" s="47"/>
      <c r="B34" s="52"/>
      <c r="C34" s="54"/>
      <c r="D34" s="54"/>
      <c r="E34" s="54"/>
      <c r="F34" s="54"/>
      <c r="G34" s="47"/>
      <c r="H34" s="47"/>
      <c r="I34" s="47"/>
      <c r="J34" s="47"/>
      <c r="K34" s="47"/>
    </row>
    <row r="35" spans="1:11" s="1" customFormat="1" ht="6.75" customHeight="1" x14ac:dyDescent="0.25">
      <c r="A35" s="47"/>
      <c r="B35" s="52"/>
      <c r="C35" s="54"/>
      <c r="D35" s="54"/>
      <c r="E35" s="54"/>
      <c r="F35" s="54"/>
      <c r="G35" s="47" t="s">
        <v>22</v>
      </c>
      <c r="H35" s="47"/>
      <c r="I35" s="47"/>
      <c r="J35" s="47"/>
      <c r="K35" s="47"/>
    </row>
    <row r="36" spans="1:11" s="1" customFormat="1" ht="17.25" customHeight="1" x14ac:dyDescent="0.25">
      <c r="A36" s="47"/>
      <c r="B36" s="52"/>
      <c r="C36" s="54"/>
      <c r="D36" s="54"/>
      <c r="E36" s="54"/>
      <c r="F36" s="54"/>
      <c r="G36" s="47"/>
      <c r="H36" s="47"/>
      <c r="I36" s="47"/>
      <c r="J36" s="47"/>
      <c r="K36" s="47"/>
    </row>
  </sheetData>
  <mergeCells count="27">
    <mergeCell ref="H35:K36"/>
    <mergeCell ref="A30:A36"/>
    <mergeCell ref="B30:B32"/>
    <mergeCell ref="C30:F32"/>
    <mergeCell ref="G30:G32"/>
    <mergeCell ref="H30:K32"/>
    <mergeCell ref="B33:B36"/>
    <mergeCell ref="C33:F36"/>
    <mergeCell ref="G33:G34"/>
    <mergeCell ref="H33:K34"/>
    <mergeCell ref="G35:G36"/>
    <mergeCell ref="A16:A29"/>
    <mergeCell ref="C17:K17"/>
    <mergeCell ref="B18:B22"/>
    <mergeCell ref="C18:C22"/>
    <mergeCell ref="B23:B28"/>
    <mergeCell ref="C23:C28"/>
    <mergeCell ref="B29:G29"/>
    <mergeCell ref="A1:K1"/>
    <mergeCell ref="A3:K3"/>
    <mergeCell ref="A4:A15"/>
    <mergeCell ref="C5:K5"/>
    <mergeCell ref="B6:B10"/>
    <mergeCell ref="C6:C10"/>
    <mergeCell ref="B11:B14"/>
    <mergeCell ref="C11:C14"/>
    <mergeCell ref="B15:G15"/>
  </mergeCells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30"/>
  <sheetViews>
    <sheetView showGridLines="0" workbookViewId="0">
      <selection activeCell="D22" sqref="D22"/>
    </sheetView>
  </sheetViews>
  <sheetFormatPr defaultColWidth="8.625" defaultRowHeight="15" customHeight="1" x14ac:dyDescent="0.25"/>
  <cols>
    <col min="1" max="1" width="9" style="1" customWidth="1"/>
    <col min="2" max="2" width="17.5" style="1" customWidth="1"/>
    <col min="3" max="3" width="11.375" style="1" customWidth="1"/>
    <col min="4" max="5" width="31.5" style="1" customWidth="1"/>
    <col min="6" max="6" width="58.25" style="1" customWidth="1"/>
    <col min="7" max="7" width="16.125" style="1" customWidth="1"/>
    <col min="8" max="8" width="11.375" style="1" customWidth="1"/>
    <col min="9" max="10" width="11.5" style="15" customWidth="1"/>
    <col min="11" max="11" width="24" style="1" customWidth="1"/>
    <col min="12" max="42" width="8.625" style="1"/>
    <col min="43" max="16384" width="8.625" style="2"/>
  </cols>
  <sheetData>
    <row r="1" spans="1:11" s="1" customFormat="1" ht="23.25" customHeight="1" x14ac:dyDescent="0.25">
      <c r="A1" s="44" t="s">
        <v>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1" customFormat="1" ht="5.25" customHeight="1" x14ac:dyDescent="0.25">
      <c r="A2" s="21"/>
      <c r="B2" s="21"/>
      <c r="C2" s="21"/>
      <c r="D2" s="21"/>
      <c r="E2" s="21"/>
      <c r="F2" s="21"/>
      <c r="G2" s="21"/>
      <c r="H2" s="21"/>
      <c r="I2" s="9"/>
      <c r="J2" s="9"/>
      <c r="K2" s="21"/>
    </row>
    <row r="3" spans="1:11" s="1" customFormat="1" ht="16.5" customHeight="1" x14ac:dyDescent="0.25">
      <c r="A3" s="56" t="s">
        <v>85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s="1" customFormat="1" ht="20.25" customHeight="1" x14ac:dyDescent="0.25">
      <c r="A4" s="47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10" t="s">
        <v>0</v>
      </c>
      <c r="J4" s="10" t="s">
        <v>1</v>
      </c>
      <c r="K4" s="3" t="s">
        <v>12</v>
      </c>
    </row>
    <row r="5" spans="1:11" s="1" customFormat="1" ht="27.75" customHeight="1" x14ac:dyDescent="0.25">
      <c r="A5" s="47"/>
      <c r="B5" s="5" t="s">
        <v>13</v>
      </c>
      <c r="C5" s="49" t="s">
        <v>84</v>
      </c>
      <c r="D5" s="49"/>
      <c r="E5" s="49"/>
      <c r="F5" s="49"/>
      <c r="G5" s="49"/>
      <c r="H5" s="49"/>
      <c r="I5" s="49"/>
      <c r="J5" s="49"/>
      <c r="K5" s="49"/>
    </row>
    <row r="6" spans="1:11" s="1" customFormat="1" ht="22.5" x14ac:dyDescent="0.25">
      <c r="A6" s="47"/>
      <c r="B6" s="50">
        <v>1</v>
      </c>
      <c r="C6" s="50" t="s">
        <v>14</v>
      </c>
      <c r="D6" s="34" t="s">
        <v>83</v>
      </c>
      <c r="E6" s="31">
        <v>0.1</v>
      </c>
      <c r="F6" s="36" t="s">
        <v>70</v>
      </c>
      <c r="G6" s="18" t="s">
        <v>69</v>
      </c>
      <c r="H6" s="31">
        <v>0.1</v>
      </c>
      <c r="I6" s="11"/>
      <c r="J6" s="19">
        <f t="shared" ref="J6:J12" si="0">I6*E6</f>
        <v>0</v>
      </c>
      <c r="K6" s="6"/>
    </row>
    <row r="7" spans="1:11" s="1" customFormat="1" ht="45" x14ac:dyDescent="0.25">
      <c r="A7" s="47"/>
      <c r="B7" s="50"/>
      <c r="C7" s="50"/>
      <c r="D7" s="35" t="s">
        <v>82</v>
      </c>
      <c r="E7" s="31">
        <v>0.1</v>
      </c>
      <c r="F7" s="33" t="s">
        <v>67</v>
      </c>
      <c r="G7" s="18" t="s">
        <v>81</v>
      </c>
      <c r="H7" s="31">
        <v>0.1</v>
      </c>
      <c r="I7" s="11"/>
      <c r="J7" s="19">
        <f t="shared" si="0"/>
        <v>0</v>
      </c>
      <c r="K7" s="7"/>
    </row>
    <row r="8" spans="1:11" s="1" customFormat="1" ht="22.5" x14ac:dyDescent="0.25">
      <c r="A8" s="47"/>
      <c r="B8" s="50"/>
      <c r="C8" s="50"/>
      <c r="D8" s="34" t="s">
        <v>80</v>
      </c>
      <c r="E8" s="31">
        <v>0.1</v>
      </c>
      <c r="F8" s="33" t="s">
        <v>79</v>
      </c>
      <c r="G8" s="18" t="s">
        <v>69</v>
      </c>
      <c r="H8" s="31">
        <v>0.1</v>
      </c>
      <c r="I8" s="11"/>
      <c r="J8" s="19">
        <f t="shared" si="0"/>
        <v>0</v>
      </c>
      <c r="K8" s="6"/>
    </row>
    <row r="9" spans="1:11" s="1" customFormat="1" x14ac:dyDescent="0.25">
      <c r="A9" s="47"/>
      <c r="B9" s="50"/>
      <c r="C9" s="50"/>
      <c r="D9" s="32" t="s">
        <v>63</v>
      </c>
      <c r="E9" s="31">
        <v>0.1</v>
      </c>
      <c r="F9" s="32" t="s">
        <v>78</v>
      </c>
      <c r="G9" s="18" t="s">
        <v>69</v>
      </c>
      <c r="H9" s="31">
        <v>0.1</v>
      </c>
      <c r="I9" s="11"/>
      <c r="J9" s="19">
        <f t="shared" si="0"/>
        <v>0</v>
      </c>
      <c r="K9" s="6"/>
    </row>
    <row r="10" spans="1:11" s="1" customFormat="1" ht="38.25" customHeight="1" x14ac:dyDescent="0.25">
      <c r="A10" s="47"/>
      <c r="B10" s="50"/>
      <c r="C10" s="50"/>
      <c r="D10" s="22" t="s">
        <v>60</v>
      </c>
      <c r="E10" s="4">
        <v>0.1</v>
      </c>
      <c r="F10" s="30" t="s">
        <v>77</v>
      </c>
      <c r="G10" s="18" t="s">
        <v>55</v>
      </c>
      <c r="H10" s="4">
        <v>0.1</v>
      </c>
      <c r="I10" s="12"/>
      <c r="J10" s="19">
        <f t="shared" si="0"/>
        <v>0</v>
      </c>
      <c r="K10" s="8"/>
    </row>
    <row r="11" spans="1:11" s="1" customFormat="1" ht="16.5" x14ac:dyDescent="0.25">
      <c r="A11" s="47"/>
      <c r="B11" s="50">
        <v>2</v>
      </c>
      <c r="C11" s="50" t="s">
        <v>15</v>
      </c>
      <c r="D11" s="17" t="s">
        <v>43</v>
      </c>
      <c r="E11" s="4">
        <v>0.4</v>
      </c>
      <c r="F11" s="17" t="s">
        <v>76</v>
      </c>
      <c r="G11" s="37" t="s">
        <v>75</v>
      </c>
      <c r="H11" s="4">
        <v>0.4</v>
      </c>
      <c r="I11" s="12"/>
      <c r="J11" s="19">
        <f t="shared" si="0"/>
        <v>0</v>
      </c>
      <c r="K11" s="8"/>
    </row>
    <row r="12" spans="1:11" s="1" customFormat="1" ht="16.5" x14ac:dyDescent="0.25">
      <c r="A12" s="47"/>
      <c r="B12" s="50"/>
      <c r="C12" s="50"/>
      <c r="D12" s="17" t="s">
        <v>57</v>
      </c>
      <c r="E12" s="4">
        <v>0.1</v>
      </c>
      <c r="F12" s="17" t="s">
        <v>74</v>
      </c>
      <c r="G12" s="37" t="s">
        <v>73</v>
      </c>
      <c r="H12" s="4">
        <v>0.1</v>
      </c>
      <c r="I12" s="11"/>
      <c r="J12" s="19">
        <f t="shared" si="0"/>
        <v>0</v>
      </c>
      <c r="K12" s="8"/>
    </row>
    <row r="13" spans="1:11" s="1" customFormat="1" ht="20.100000000000001" customHeight="1" x14ac:dyDescent="0.25">
      <c r="A13" s="47"/>
      <c r="B13" s="51" t="s">
        <v>2</v>
      </c>
      <c r="C13" s="51"/>
      <c r="D13" s="51"/>
      <c r="E13" s="51"/>
      <c r="F13" s="51"/>
      <c r="G13" s="51"/>
      <c r="H13" s="20">
        <f>SUM(H6:H12)</f>
        <v>1</v>
      </c>
      <c r="I13" s="11"/>
      <c r="J13" s="19">
        <f>SUM(J6:J12)</f>
        <v>0</v>
      </c>
      <c r="K13" s="8"/>
    </row>
    <row r="14" spans="1:11" s="1" customFormat="1" ht="20.25" customHeight="1" x14ac:dyDescent="0.25">
      <c r="A14" s="47" t="s">
        <v>24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16</v>
      </c>
      <c r="G14" s="3" t="s">
        <v>10</v>
      </c>
      <c r="H14" s="3" t="s">
        <v>17</v>
      </c>
      <c r="I14" s="13"/>
      <c r="J14" s="13"/>
      <c r="K14" s="3" t="s">
        <v>12</v>
      </c>
    </row>
    <row r="15" spans="1:11" s="1" customFormat="1" ht="29.25" customHeight="1" x14ac:dyDescent="0.25">
      <c r="A15" s="47"/>
      <c r="B15" s="5" t="s">
        <v>13</v>
      </c>
      <c r="C15" s="49" t="s">
        <v>72</v>
      </c>
      <c r="D15" s="49"/>
      <c r="E15" s="49"/>
      <c r="F15" s="49"/>
      <c r="G15" s="49"/>
      <c r="H15" s="49"/>
      <c r="I15" s="49"/>
      <c r="J15" s="49"/>
      <c r="K15" s="49"/>
    </row>
    <row r="16" spans="1:11" s="1" customFormat="1" ht="22.5" x14ac:dyDescent="0.25">
      <c r="A16" s="47"/>
      <c r="B16" s="50">
        <v>1</v>
      </c>
      <c r="C16" s="50" t="s">
        <v>14</v>
      </c>
      <c r="D16" s="34" t="s">
        <v>71</v>
      </c>
      <c r="E16" s="31">
        <v>0.1</v>
      </c>
      <c r="F16" s="36" t="s">
        <v>70</v>
      </c>
      <c r="G16" s="18" t="s">
        <v>69</v>
      </c>
      <c r="H16" s="31">
        <v>0.1</v>
      </c>
      <c r="I16" s="14"/>
      <c r="J16" s="14"/>
      <c r="K16" s="8"/>
    </row>
    <row r="17" spans="1:11" s="1" customFormat="1" ht="45" x14ac:dyDescent="0.25">
      <c r="A17" s="47"/>
      <c r="B17" s="50"/>
      <c r="C17" s="50"/>
      <c r="D17" s="35" t="s">
        <v>68</v>
      </c>
      <c r="E17" s="31">
        <v>0.1</v>
      </c>
      <c r="F17" s="33" t="s">
        <v>67</v>
      </c>
      <c r="G17" s="18" t="s">
        <v>55</v>
      </c>
      <c r="H17" s="31">
        <v>0.1</v>
      </c>
      <c r="I17" s="14"/>
      <c r="J17" s="14"/>
      <c r="K17" s="8"/>
    </row>
    <row r="18" spans="1:11" s="1" customFormat="1" ht="22.5" x14ac:dyDescent="0.25">
      <c r="A18" s="47"/>
      <c r="B18" s="50"/>
      <c r="C18" s="50"/>
      <c r="D18" s="34" t="s">
        <v>66</v>
      </c>
      <c r="E18" s="31">
        <v>0.1</v>
      </c>
      <c r="F18" s="33" t="s">
        <v>65</v>
      </c>
      <c r="G18" s="18" t="s">
        <v>55</v>
      </c>
      <c r="H18" s="31">
        <v>0.1</v>
      </c>
      <c r="I18" s="4"/>
      <c r="J18" s="4"/>
      <c r="K18" s="8"/>
    </row>
    <row r="19" spans="1:11" s="1" customFormat="1" x14ac:dyDescent="0.25">
      <c r="A19" s="47"/>
      <c r="B19" s="50"/>
      <c r="C19" s="50"/>
      <c r="D19" s="32" t="s">
        <v>64</v>
      </c>
      <c r="E19" s="31">
        <v>0.1</v>
      </c>
      <c r="F19" s="32" t="s">
        <v>62</v>
      </c>
      <c r="G19" s="18" t="s">
        <v>55</v>
      </c>
      <c r="H19" s="31">
        <v>0.1</v>
      </c>
      <c r="I19" s="4"/>
      <c r="J19" s="4"/>
      <c r="K19" s="8"/>
    </row>
    <row r="20" spans="1:11" s="1" customFormat="1" x14ac:dyDescent="0.25">
      <c r="A20" s="47"/>
      <c r="B20" s="50"/>
      <c r="C20" s="50"/>
      <c r="D20" s="22" t="s">
        <v>61</v>
      </c>
      <c r="E20" s="4">
        <v>0.1</v>
      </c>
      <c r="F20" s="30" t="s">
        <v>59</v>
      </c>
      <c r="G20" s="18" t="s">
        <v>55</v>
      </c>
      <c r="H20" s="4">
        <v>0.1</v>
      </c>
      <c r="I20" s="4"/>
      <c r="J20" s="4"/>
      <c r="K20" s="8"/>
    </row>
    <row r="21" spans="1:11" s="1" customFormat="1" ht="16.5" x14ac:dyDescent="0.25">
      <c r="A21" s="47"/>
      <c r="B21" s="50">
        <v>2</v>
      </c>
      <c r="C21" s="50" t="s">
        <v>15</v>
      </c>
      <c r="D21" s="17" t="s">
        <v>43</v>
      </c>
      <c r="E21" s="4">
        <v>0.3</v>
      </c>
      <c r="F21" s="17" t="s">
        <v>58</v>
      </c>
      <c r="G21" s="18" t="s">
        <v>55</v>
      </c>
      <c r="H21" s="4">
        <v>0.3</v>
      </c>
      <c r="I21" s="4"/>
      <c r="J21" s="4"/>
      <c r="K21" s="8"/>
    </row>
    <row r="22" spans="1:11" s="1" customFormat="1" ht="49.5" x14ac:dyDescent="0.25">
      <c r="A22" s="47"/>
      <c r="B22" s="50"/>
      <c r="C22" s="50"/>
      <c r="D22" s="17" t="s">
        <v>189</v>
      </c>
      <c r="E22" s="4">
        <v>0.2</v>
      </c>
      <c r="F22" s="17" t="s">
        <v>56</v>
      </c>
      <c r="G22" s="18" t="s">
        <v>55</v>
      </c>
      <c r="H22" s="4">
        <v>0.2</v>
      </c>
      <c r="I22" s="4"/>
      <c r="J22" s="4"/>
      <c r="K22" s="8"/>
    </row>
    <row r="23" spans="1:11" s="1" customFormat="1" ht="20.100000000000001" customHeight="1" x14ac:dyDescent="0.25">
      <c r="A23" s="47"/>
      <c r="B23" s="51" t="s">
        <v>2</v>
      </c>
      <c r="C23" s="51"/>
      <c r="D23" s="51"/>
      <c r="E23" s="51"/>
      <c r="F23" s="51"/>
      <c r="G23" s="51"/>
      <c r="H23" s="20">
        <f>SUM(H16:H22)</f>
        <v>1</v>
      </c>
      <c r="I23" s="4"/>
      <c r="J23" s="4"/>
      <c r="K23" s="8"/>
    </row>
    <row r="24" spans="1:11" s="1" customFormat="1" ht="21" customHeight="1" x14ac:dyDescent="0.25">
      <c r="A24" s="47" t="s">
        <v>18</v>
      </c>
      <c r="B24" s="52" t="s">
        <v>19</v>
      </c>
      <c r="C24" s="53"/>
      <c r="D24" s="54"/>
      <c r="E24" s="54"/>
      <c r="F24" s="54"/>
      <c r="G24" s="47" t="s">
        <v>20</v>
      </c>
      <c r="H24" s="47"/>
      <c r="I24" s="47"/>
      <c r="J24" s="47"/>
      <c r="K24" s="47"/>
    </row>
    <row r="25" spans="1:11" s="1" customFormat="1" ht="21" customHeight="1" x14ac:dyDescent="0.25">
      <c r="A25" s="47"/>
      <c r="B25" s="52"/>
      <c r="C25" s="54"/>
      <c r="D25" s="54"/>
      <c r="E25" s="54"/>
      <c r="F25" s="54"/>
      <c r="G25" s="47"/>
      <c r="H25" s="47"/>
      <c r="I25" s="47"/>
      <c r="J25" s="47"/>
      <c r="K25" s="47"/>
    </row>
    <row r="26" spans="1:11" s="1" customFormat="1" ht="3" customHeight="1" x14ac:dyDescent="0.25">
      <c r="A26" s="47"/>
      <c r="B26" s="52"/>
      <c r="C26" s="54"/>
      <c r="D26" s="54"/>
      <c r="E26" s="54"/>
      <c r="F26" s="54"/>
      <c r="G26" s="47"/>
      <c r="H26" s="47"/>
      <c r="I26" s="47"/>
      <c r="J26" s="47"/>
      <c r="K26" s="47"/>
    </row>
    <row r="27" spans="1:11" s="1" customFormat="1" ht="17.25" customHeight="1" x14ac:dyDescent="0.25">
      <c r="A27" s="47"/>
      <c r="B27" s="55" t="s">
        <v>54</v>
      </c>
      <c r="C27" s="54"/>
      <c r="D27" s="54"/>
      <c r="E27" s="54"/>
      <c r="F27" s="54"/>
      <c r="G27" s="47" t="s">
        <v>21</v>
      </c>
      <c r="H27" s="47"/>
      <c r="I27" s="47"/>
      <c r="J27" s="47"/>
      <c r="K27" s="47"/>
    </row>
    <row r="28" spans="1:11" s="1" customFormat="1" ht="17.25" customHeight="1" x14ac:dyDescent="0.25">
      <c r="A28" s="47"/>
      <c r="B28" s="52"/>
      <c r="C28" s="54"/>
      <c r="D28" s="54"/>
      <c r="E28" s="54"/>
      <c r="F28" s="54"/>
      <c r="G28" s="47"/>
      <c r="H28" s="47"/>
      <c r="I28" s="47"/>
      <c r="J28" s="47"/>
      <c r="K28" s="47"/>
    </row>
    <row r="29" spans="1:11" s="1" customFormat="1" ht="6.75" customHeight="1" x14ac:dyDescent="0.25">
      <c r="A29" s="47"/>
      <c r="B29" s="52"/>
      <c r="C29" s="54"/>
      <c r="D29" s="54"/>
      <c r="E29" s="54"/>
      <c r="F29" s="54"/>
      <c r="G29" s="47" t="s">
        <v>22</v>
      </c>
      <c r="H29" s="47"/>
      <c r="I29" s="47"/>
      <c r="J29" s="47"/>
      <c r="K29" s="47"/>
    </row>
    <row r="30" spans="1:11" s="1" customFormat="1" ht="17.25" customHeight="1" x14ac:dyDescent="0.25">
      <c r="A30" s="47"/>
      <c r="B30" s="52"/>
      <c r="C30" s="54"/>
      <c r="D30" s="54"/>
      <c r="E30" s="54"/>
      <c r="F30" s="54"/>
      <c r="G30" s="47"/>
      <c r="H30" s="47"/>
      <c r="I30" s="47"/>
      <c r="J30" s="47"/>
      <c r="K30" s="47"/>
    </row>
  </sheetData>
  <mergeCells count="27">
    <mergeCell ref="A1:K1"/>
    <mergeCell ref="A3:K3"/>
    <mergeCell ref="A4:A13"/>
    <mergeCell ref="C5:K5"/>
    <mergeCell ref="B6:B10"/>
    <mergeCell ref="C6:C10"/>
    <mergeCell ref="B11:B12"/>
    <mergeCell ref="C11:C12"/>
    <mergeCell ref="B13:G13"/>
    <mergeCell ref="A14:A23"/>
    <mergeCell ref="C15:K15"/>
    <mergeCell ref="B16:B20"/>
    <mergeCell ref="C16:C20"/>
    <mergeCell ref="B21:B22"/>
    <mergeCell ref="C21:C22"/>
    <mergeCell ref="B23:G23"/>
    <mergeCell ref="G29:G30"/>
    <mergeCell ref="H29:K30"/>
    <mergeCell ref="A24:A30"/>
    <mergeCell ref="B24:B26"/>
    <mergeCell ref="C24:F26"/>
    <mergeCell ref="G24:G26"/>
    <mergeCell ref="H24:K26"/>
    <mergeCell ref="B27:B30"/>
    <mergeCell ref="C27:F30"/>
    <mergeCell ref="G27:G28"/>
    <mergeCell ref="H27:K28"/>
  </mergeCells>
  <phoneticPr fontId="2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29"/>
  <sheetViews>
    <sheetView showGridLines="0" workbookViewId="0">
      <selection activeCell="D30" sqref="D30"/>
    </sheetView>
  </sheetViews>
  <sheetFormatPr defaultColWidth="8.625" defaultRowHeight="15" customHeight="1" x14ac:dyDescent="0.25"/>
  <cols>
    <col min="1" max="1" width="9" style="1" customWidth="1"/>
    <col min="2" max="2" width="17.5" style="1" customWidth="1"/>
    <col min="3" max="3" width="11.375" style="1" customWidth="1"/>
    <col min="4" max="4" width="37.75" style="1" customWidth="1"/>
    <col min="5" max="5" width="31.5" style="1" customWidth="1"/>
    <col min="6" max="6" width="58.25" style="1" customWidth="1"/>
    <col min="7" max="7" width="16.125" style="1" customWidth="1"/>
    <col min="8" max="8" width="11.375" style="1" customWidth="1"/>
    <col min="9" max="10" width="11.5" style="15" customWidth="1"/>
    <col min="11" max="11" width="24" style="1" customWidth="1"/>
    <col min="12" max="42" width="8.625" style="1"/>
    <col min="43" max="16384" width="8.625" style="2"/>
  </cols>
  <sheetData>
    <row r="1" spans="1:11" s="1" customFormat="1" ht="23.25" customHeight="1" x14ac:dyDescent="0.25">
      <c r="A1" s="44" t="s">
        <v>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1" customFormat="1" ht="5.25" customHeight="1" x14ac:dyDescent="0.25">
      <c r="A2" s="29"/>
      <c r="B2" s="29"/>
      <c r="C2" s="29"/>
      <c r="D2" s="29"/>
      <c r="E2" s="29"/>
      <c r="F2" s="29"/>
      <c r="G2" s="29"/>
      <c r="H2" s="29"/>
      <c r="I2" s="9"/>
      <c r="J2" s="9"/>
      <c r="K2" s="29"/>
    </row>
    <row r="3" spans="1:11" s="1" customFormat="1" ht="16.5" customHeight="1" x14ac:dyDescent="0.25">
      <c r="A3" s="56" t="s">
        <v>91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s="1" customFormat="1" ht="20.25" customHeight="1" x14ac:dyDescent="0.25">
      <c r="A4" s="47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10" t="s">
        <v>0</v>
      </c>
      <c r="J4" s="10" t="s">
        <v>1</v>
      </c>
      <c r="K4" s="3" t="s">
        <v>12</v>
      </c>
    </row>
    <row r="5" spans="1:11" s="1" customFormat="1" ht="27.75" customHeight="1" x14ac:dyDescent="0.25">
      <c r="A5" s="47"/>
      <c r="B5" s="5" t="s">
        <v>13</v>
      </c>
      <c r="C5" s="49" t="s">
        <v>165</v>
      </c>
      <c r="D5" s="49"/>
      <c r="E5" s="49"/>
      <c r="F5" s="49"/>
      <c r="G5" s="49"/>
      <c r="H5" s="49"/>
      <c r="I5" s="49"/>
      <c r="J5" s="49"/>
      <c r="K5" s="49"/>
    </row>
    <row r="6" spans="1:11" s="1" customFormat="1" ht="22.5" x14ac:dyDescent="0.25">
      <c r="A6" s="47"/>
      <c r="B6" s="50">
        <v>1</v>
      </c>
      <c r="C6" s="50" t="s">
        <v>14</v>
      </c>
      <c r="D6" s="41" t="s">
        <v>89</v>
      </c>
      <c r="E6" s="39">
        <v>0.1</v>
      </c>
      <c r="F6" s="42" t="s">
        <v>88</v>
      </c>
      <c r="G6" s="4" t="s">
        <v>86</v>
      </c>
      <c r="H6" s="39">
        <v>0.1</v>
      </c>
      <c r="I6" s="11"/>
      <c r="J6" s="19">
        <f>I6*E6</f>
        <v>0</v>
      </c>
      <c r="K6" s="6"/>
    </row>
    <row r="7" spans="1:11" s="1" customFormat="1" ht="22.5" x14ac:dyDescent="0.25">
      <c r="A7" s="47"/>
      <c r="B7" s="50"/>
      <c r="C7" s="50"/>
      <c r="D7" s="41" t="s">
        <v>164</v>
      </c>
      <c r="E7" s="39">
        <v>0.1</v>
      </c>
      <c r="F7" s="40" t="s">
        <v>163</v>
      </c>
      <c r="G7" s="4" t="s">
        <v>86</v>
      </c>
      <c r="H7" s="39">
        <v>0.1</v>
      </c>
      <c r="I7" s="11"/>
      <c r="J7" s="19">
        <f>I7*E7</f>
        <v>0</v>
      </c>
      <c r="K7" s="7"/>
    </row>
    <row r="8" spans="1:11" s="1" customFormat="1" ht="22.5" x14ac:dyDescent="0.25">
      <c r="A8" s="47"/>
      <c r="B8" s="50"/>
      <c r="C8" s="50"/>
      <c r="D8" s="41" t="s">
        <v>156</v>
      </c>
      <c r="E8" s="39">
        <v>0.2</v>
      </c>
      <c r="F8" s="40" t="s">
        <v>155</v>
      </c>
      <c r="G8" s="4" t="s">
        <v>86</v>
      </c>
      <c r="H8" s="39">
        <v>0.2</v>
      </c>
      <c r="I8" s="11"/>
      <c r="J8" s="19">
        <f>I8*E8</f>
        <v>0</v>
      </c>
      <c r="K8" s="6"/>
    </row>
    <row r="9" spans="1:11" s="1" customFormat="1" x14ac:dyDescent="0.25">
      <c r="A9" s="47"/>
      <c r="B9" s="50"/>
      <c r="C9" s="50"/>
      <c r="D9" s="41" t="s">
        <v>154</v>
      </c>
      <c r="E9" s="39">
        <v>0.2</v>
      </c>
      <c r="F9" s="62" t="s">
        <v>87</v>
      </c>
      <c r="G9" s="4" t="s">
        <v>86</v>
      </c>
      <c r="H9" s="39">
        <v>0.2</v>
      </c>
      <c r="I9" s="11"/>
      <c r="J9" s="19">
        <f>I9*E9</f>
        <v>0</v>
      </c>
      <c r="K9" s="6"/>
    </row>
    <row r="10" spans="1:11" s="1" customFormat="1" ht="31.5" customHeight="1" x14ac:dyDescent="0.25">
      <c r="A10" s="47"/>
      <c r="B10" s="50">
        <v>2</v>
      </c>
      <c r="C10" s="50" t="s">
        <v>15</v>
      </c>
      <c r="D10" s="41" t="s">
        <v>152</v>
      </c>
      <c r="E10" s="39">
        <v>0.2</v>
      </c>
      <c r="F10" s="60" t="s">
        <v>162</v>
      </c>
      <c r="G10" s="4"/>
      <c r="H10" s="4">
        <v>0.2</v>
      </c>
      <c r="I10" s="12"/>
      <c r="J10" s="19">
        <f>I10*E10</f>
        <v>0</v>
      </c>
      <c r="K10" s="8"/>
    </row>
    <row r="11" spans="1:11" s="1" customFormat="1" x14ac:dyDescent="0.25">
      <c r="A11" s="47"/>
      <c r="B11" s="50"/>
      <c r="C11" s="50"/>
      <c r="D11" s="41" t="s">
        <v>148</v>
      </c>
      <c r="E11" s="39">
        <v>0.2</v>
      </c>
      <c r="F11" s="62" t="s">
        <v>44</v>
      </c>
      <c r="G11" s="4"/>
      <c r="H11" s="4">
        <v>0.2</v>
      </c>
      <c r="I11" s="11"/>
      <c r="J11" s="19">
        <f>I11*E11</f>
        <v>0</v>
      </c>
      <c r="K11" s="8"/>
    </row>
    <row r="12" spans="1:11" s="1" customFormat="1" ht="20.100000000000001" customHeight="1" x14ac:dyDescent="0.25">
      <c r="A12" s="47"/>
      <c r="B12" s="51" t="s">
        <v>2</v>
      </c>
      <c r="C12" s="51"/>
      <c r="D12" s="51"/>
      <c r="E12" s="51"/>
      <c r="F12" s="51"/>
      <c r="G12" s="51"/>
      <c r="H12" s="20">
        <f>SUM(H6:H11)</f>
        <v>1</v>
      </c>
      <c r="I12" s="11"/>
      <c r="J12" s="19">
        <f>I12*E12</f>
        <v>0</v>
      </c>
      <c r="K12" s="8"/>
    </row>
    <row r="13" spans="1:11" s="1" customFormat="1" ht="20.25" customHeight="1" x14ac:dyDescent="0.25">
      <c r="A13" s="47" t="s">
        <v>24</v>
      </c>
      <c r="B13" s="3" t="s">
        <v>5</v>
      </c>
      <c r="C13" s="3" t="s">
        <v>6</v>
      </c>
      <c r="D13" s="3" t="s">
        <v>7</v>
      </c>
      <c r="E13" s="3" t="s">
        <v>8</v>
      </c>
      <c r="F13" s="3" t="s">
        <v>16</v>
      </c>
      <c r="G13" s="3" t="s">
        <v>10</v>
      </c>
      <c r="H13" s="3" t="s">
        <v>17</v>
      </c>
      <c r="I13" s="13"/>
      <c r="J13" s="13"/>
      <c r="K13" s="3" t="s">
        <v>12</v>
      </c>
    </row>
    <row r="14" spans="1:11" s="1" customFormat="1" ht="29.25" customHeight="1" x14ac:dyDescent="0.25">
      <c r="A14" s="47"/>
      <c r="B14" s="5" t="s">
        <v>13</v>
      </c>
      <c r="C14" s="49" t="s">
        <v>161</v>
      </c>
      <c r="D14" s="49"/>
      <c r="E14" s="49"/>
      <c r="F14" s="49"/>
      <c r="G14" s="49"/>
      <c r="H14" s="49"/>
      <c r="I14" s="49"/>
      <c r="J14" s="49"/>
      <c r="K14" s="49"/>
    </row>
    <row r="15" spans="1:11" s="1" customFormat="1" ht="22.5" x14ac:dyDescent="0.25">
      <c r="A15" s="47"/>
      <c r="B15" s="50">
        <v>1</v>
      </c>
      <c r="C15" s="50" t="s">
        <v>14</v>
      </c>
      <c r="D15" s="41" t="s">
        <v>160</v>
      </c>
      <c r="E15" s="39">
        <v>0.1</v>
      </c>
      <c r="F15" s="60" t="s">
        <v>159</v>
      </c>
      <c r="G15" s="4" t="s">
        <v>86</v>
      </c>
      <c r="H15" s="39">
        <v>0.1</v>
      </c>
      <c r="I15" s="11"/>
      <c r="J15" s="19">
        <f>I15*E15</f>
        <v>0</v>
      </c>
      <c r="K15" s="6"/>
    </row>
    <row r="16" spans="1:11" s="1" customFormat="1" ht="22.5" x14ac:dyDescent="0.25">
      <c r="A16" s="47"/>
      <c r="B16" s="50"/>
      <c r="C16" s="50"/>
      <c r="D16" s="41" t="s">
        <v>158</v>
      </c>
      <c r="E16" s="39">
        <v>0.1</v>
      </c>
      <c r="F16" s="60" t="s">
        <v>157</v>
      </c>
      <c r="G16" s="4" t="s">
        <v>86</v>
      </c>
      <c r="H16" s="39">
        <v>0.1</v>
      </c>
      <c r="I16" s="11"/>
      <c r="J16" s="19">
        <f>I16*E16</f>
        <v>0</v>
      </c>
      <c r="K16" s="7"/>
    </row>
    <row r="17" spans="1:11" s="1" customFormat="1" ht="22.5" x14ac:dyDescent="0.25">
      <c r="A17" s="47"/>
      <c r="B17" s="50"/>
      <c r="C17" s="50"/>
      <c r="D17" s="41" t="s">
        <v>156</v>
      </c>
      <c r="E17" s="39">
        <v>0.2</v>
      </c>
      <c r="F17" s="60" t="s">
        <v>155</v>
      </c>
      <c r="G17" s="4" t="s">
        <v>86</v>
      </c>
      <c r="H17" s="39">
        <v>0.2</v>
      </c>
      <c r="I17" s="11"/>
      <c r="J17" s="19">
        <f>I17*E17</f>
        <v>0</v>
      </c>
      <c r="K17" s="6"/>
    </row>
    <row r="18" spans="1:11" s="1" customFormat="1" x14ac:dyDescent="0.25">
      <c r="A18" s="47"/>
      <c r="B18" s="50"/>
      <c r="C18" s="50"/>
      <c r="D18" s="41" t="s">
        <v>154</v>
      </c>
      <c r="E18" s="4">
        <v>0.25</v>
      </c>
      <c r="F18" s="60" t="s">
        <v>153</v>
      </c>
      <c r="G18" s="4" t="s">
        <v>86</v>
      </c>
      <c r="H18" s="4">
        <v>0.25</v>
      </c>
      <c r="I18" s="11"/>
      <c r="J18" s="19">
        <f>I18*E18</f>
        <v>0</v>
      </c>
      <c r="K18" s="6"/>
    </row>
    <row r="19" spans="1:11" s="1" customFormat="1" x14ac:dyDescent="0.25">
      <c r="A19" s="47"/>
      <c r="B19" s="50">
        <v>2</v>
      </c>
      <c r="C19" s="50" t="s">
        <v>15</v>
      </c>
      <c r="D19" s="41" t="s">
        <v>152</v>
      </c>
      <c r="E19" s="4">
        <v>0.1</v>
      </c>
      <c r="F19" s="60" t="s">
        <v>151</v>
      </c>
      <c r="G19" s="4"/>
      <c r="H19" s="4">
        <v>0.1</v>
      </c>
      <c r="I19" s="4"/>
      <c r="J19" s="4"/>
      <c r="K19" s="8"/>
    </row>
    <row r="20" spans="1:11" s="1" customFormat="1" x14ac:dyDescent="0.25">
      <c r="A20" s="47"/>
      <c r="B20" s="50"/>
      <c r="C20" s="50"/>
      <c r="D20" s="41" t="s">
        <v>150</v>
      </c>
      <c r="E20" s="61">
        <v>0.15</v>
      </c>
      <c r="F20" s="60" t="s">
        <v>149</v>
      </c>
      <c r="G20" s="4"/>
      <c r="H20" s="27">
        <v>0.15</v>
      </c>
      <c r="I20" s="4"/>
      <c r="J20" s="4"/>
      <c r="K20" s="8"/>
    </row>
    <row r="21" spans="1:11" s="1" customFormat="1" x14ac:dyDescent="0.25">
      <c r="A21" s="47"/>
      <c r="B21" s="50"/>
      <c r="C21" s="50"/>
      <c r="D21" s="41" t="s">
        <v>148</v>
      </c>
      <c r="E21" s="37">
        <v>0.15</v>
      </c>
      <c r="F21" s="60" t="s">
        <v>147</v>
      </c>
      <c r="G21" s="4"/>
      <c r="H21" s="37">
        <v>0.15</v>
      </c>
      <c r="I21" s="4"/>
      <c r="J21" s="4"/>
      <c r="K21" s="8"/>
    </row>
    <row r="22" spans="1:11" s="1" customFormat="1" ht="20.100000000000001" customHeight="1" x14ac:dyDescent="0.25">
      <c r="A22" s="47"/>
      <c r="B22" s="51" t="s">
        <v>2</v>
      </c>
      <c r="C22" s="51"/>
      <c r="D22" s="51"/>
      <c r="E22" s="51"/>
      <c r="F22" s="51"/>
      <c r="G22" s="51"/>
      <c r="H22" s="20">
        <f>SUM(H15:H21)</f>
        <v>1.05</v>
      </c>
      <c r="I22" s="4"/>
      <c r="J22" s="4"/>
      <c r="K22" s="8"/>
    </row>
    <row r="23" spans="1:11" s="1" customFormat="1" ht="21" customHeight="1" x14ac:dyDescent="0.25">
      <c r="A23" s="47" t="s">
        <v>18</v>
      </c>
      <c r="B23" s="52" t="s">
        <v>19</v>
      </c>
      <c r="C23" s="53"/>
      <c r="D23" s="54"/>
      <c r="E23" s="54"/>
      <c r="F23" s="54"/>
      <c r="G23" s="47" t="s">
        <v>20</v>
      </c>
      <c r="H23" s="47"/>
      <c r="I23" s="47"/>
      <c r="J23" s="47"/>
      <c r="K23" s="47"/>
    </row>
    <row r="24" spans="1:11" s="1" customFormat="1" ht="21" customHeight="1" x14ac:dyDescent="0.25">
      <c r="A24" s="47"/>
      <c r="B24" s="52"/>
      <c r="C24" s="54"/>
      <c r="D24" s="54"/>
      <c r="E24" s="54"/>
      <c r="F24" s="54"/>
      <c r="G24" s="47"/>
      <c r="H24" s="47"/>
      <c r="I24" s="47"/>
      <c r="J24" s="47"/>
      <c r="K24" s="47"/>
    </row>
    <row r="25" spans="1:11" s="1" customFormat="1" ht="3" customHeight="1" x14ac:dyDescent="0.25">
      <c r="A25" s="47"/>
      <c r="B25" s="52"/>
      <c r="C25" s="54"/>
      <c r="D25" s="54"/>
      <c r="E25" s="54"/>
      <c r="F25" s="54"/>
      <c r="G25" s="47"/>
      <c r="H25" s="47"/>
      <c r="I25" s="47"/>
      <c r="J25" s="47"/>
      <c r="K25" s="47"/>
    </row>
    <row r="26" spans="1:11" s="1" customFormat="1" ht="17.25" customHeight="1" x14ac:dyDescent="0.25">
      <c r="A26" s="47"/>
      <c r="B26" s="55" t="s">
        <v>146</v>
      </c>
      <c r="C26" s="54"/>
      <c r="D26" s="54"/>
      <c r="E26" s="54"/>
      <c r="F26" s="54"/>
      <c r="G26" s="47" t="s">
        <v>21</v>
      </c>
      <c r="H26" s="47"/>
      <c r="I26" s="47"/>
      <c r="J26" s="47"/>
      <c r="K26" s="47"/>
    </row>
    <row r="27" spans="1:11" s="1" customFormat="1" ht="17.25" customHeight="1" x14ac:dyDescent="0.25">
      <c r="A27" s="47"/>
      <c r="B27" s="52"/>
      <c r="C27" s="54"/>
      <c r="D27" s="54"/>
      <c r="E27" s="54"/>
      <c r="F27" s="54"/>
      <c r="G27" s="47"/>
      <c r="H27" s="47"/>
      <c r="I27" s="47"/>
      <c r="J27" s="47"/>
      <c r="K27" s="47"/>
    </row>
    <row r="28" spans="1:11" s="1" customFormat="1" ht="6.75" customHeight="1" x14ac:dyDescent="0.25">
      <c r="A28" s="47"/>
      <c r="B28" s="52"/>
      <c r="C28" s="54"/>
      <c r="D28" s="54"/>
      <c r="E28" s="54"/>
      <c r="F28" s="54"/>
      <c r="G28" s="47" t="s">
        <v>22</v>
      </c>
      <c r="H28" s="47"/>
      <c r="I28" s="47"/>
      <c r="J28" s="47"/>
      <c r="K28" s="47"/>
    </row>
    <row r="29" spans="1:11" s="1" customFormat="1" ht="17.25" customHeight="1" x14ac:dyDescent="0.25">
      <c r="A29" s="47"/>
      <c r="B29" s="52"/>
      <c r="C29" s="54"/>
      <c r="D29" s="54"/>
      <c r="E29" s="54"/>
      <c r="F29" s="54"/>
      <c r="G29" s="47"/>
      <c r="H29" s="47"/>
      <c r="I29" s="47"/>
      <c r="J29" s="47"/>
      <c r="K29" s="47"/>
    </row>
  </sheetData>
  <mergeCells count="27">
    <mergeCell ref="G28:G29"/>
    <mergeCell ref="H28:K29"/>
    <mergeCell ref="A23:A29"/>
    <mergeCell ref="B23:B25"/>
    <mergeCell ref="C23:F25"/>
    <mergeCell ref="G23:G25"/>
    <mergeCell ref="H23:K25"/>
    <mergeCell ref="B26:B29"/>
    <mergeCell ref="C26:F29"/>
    <mergeCell ref="G26:G27"/>
    <mergeCell ref="H26:K27"/>
    <mergeCell ref="A13:A22"/>
    <mergeCell ref="C14:K14"/>
    <mergeCell ref="B15:B18"/>
    <mergeCell ref="C15:C18"/>
    <mergeCell ref="B19:B21"/>
    <mergeCell ref="C19:C21"/>
    <mergeCell ref="B22:G22"/>
    <mergeCell ref="A1:K1"/>
    <mergeCell ref="A3:K3"/>
    <mergeCell ref="A4:A12"/>
    <mergeCell ref="C5:K5"/>
    <mergeCell ref="B6:B9"/>
    <mergeCell ref="C6:C9"/>
    <mergeCell ref="B10:B11"/>
    <mergeCell ref="C10:C11"/>
    <mergeCell ref="B12:G12"/>
  </mergeCells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30"/>
  <sheetViews>
    <sheetView showGridLines="0" topLeftCell="B1" zoomScaleNormal="100" workbookViewId="0">
      <selection activeCell="D31" sqref="D31"/>
    </sheetView>
  </sheetViews>
  <sheetFormatPr defaultColWidth="8.625" defaultRowHeight="15" customHeight="1" x14ac:dyDescent="0.25"/>
  <cols>
    <col min="1" max="1" width="9" style="1" customWidth="1"/>
    <col min="2" max="2" width="17.5" style="1" customWidth="1"/>
    <col min="3" max="3" width="11.375" style="1" customWidth="1"/>
    <col min="4" max="5" width="31.5" style="1" customWidth="1"/>
    <col min="6" max="6" width="58.25" style="1" customWidth="1"/>
    <col min="7" max="7" width="16.125" style="1" customWidth="1"/>
    <col min="8" max="8" width="11.375" style="1" customWidth="1"/>
    <col min="9" max="10" width="11.5" style="15" customWidth="1"/>
    <col min="11" max="11" width="24" style="1" customWidth="1"/>
    <col min="12" max="42" width="8.625" style="1"/>
    <col min="43" max="16384" width="8.625" style="2"/>
  </cols>
  <sheetData>
    <row r="1" spans="1:11" s="1" customFormat="1" ht="23.25" customHeight="1" x14ac:dyDescent="0.25">
      <c r="A1" s="44" t="s">
        <v>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1" customFormat="1" ht="5.25" customHeight="1" x14ac:dyDescent="0.25">
      <c r="A2" s="29"/>
      <c r="B2" s="29"/>
      <c r="C2" s="29"/>
      <c r="D2" s="29"/>
      <c r="E2" s="29"/>
      <c r="F2" s="29"/>
      <c r="G2" s="29"/>
      <c r="H2" s="29"/>
      <c r="I2" s="9"/>
      <c r="J2" s="9"/>
      <c r="K2" s="29"/>
    </row>
    <row r="3" spans="1:11" s="1" customFormat="1" ht="16.5" customHeight="1" x14ac:dyDescent="0.25">
      <c r="A3" s="56" t="s">
        <v>187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s="1" customFormat="1" ht="20.25" customHeight="1" x14ac:dyDescent="0.25">
      <c r="A4" s="47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10" t="s">
        <v>0</v>
      </c>
      <c r="J4" s="10" t="s">
        <v>1</v>
      </c>
      <c r="K4" s="3" t="s">
        <v>12</v>
      </c>
    </row>
    <row r="5" spans="1:11" s="1" customFormat="1" ht="27.75" customHeight="1" x14ac:dyDescent="0.25">
      <c r="A5" s="47"/>
      <c r="B5" s="5" t="s">
        <v>13</v>
      </c>
      <c r="C5" s="59" t="s">
        <v>181</v>
      </c>
      <c r="D5" s="59"/>
      <c r="E5" s="59"/>
      <c r="F5" s="59"/>
      <c r="G5" s="59"/>
      <c r="H5" s="59"/>
      <c r="I5" s="59"/>
      <c r="J5" s="59"/>
      <c r="K5" s="59"/>
    </row>
    <row r="6" spans="1:11" s="1" customFormat="1" ht="28.5" x14ac:dyDescent="0.25">
      <c r="A6" s="47"/>
      <c r="B6" s="71">
        <v>1</v>
      </c>
      <c r="C6" s="71" t="s">
        <v>14</v>
      </c>
      <c r="D6" s="66" t="s">
        <v>186</v>
      </c>
      <c r="E6" s="63">
        <v>0.1</v>
      </c>
      <c r="F6" s="67" t="s">
        <v>185</v>
      </c>
      <c r="G6" s="63" t="s">
        <v>29</v>
      </c>
      <c r="H6" s="63">
        <v>0.1</v>
      </c>
      <c r="I6" s="11"/>
      <c r="J6" s="19">
        <f>I6*E6</f>
        <v>0</v>
      </c>
      <c r="K6" s="6"/>
    </row>
    <row r="7" spans="1:11" s="1" customFormat="1" x14ac:dyDescent="0.25">
      <c r="A7" s="47"/>
      <c r="B7" s="72"/>
      <c r="C7" s="72"/>
      <c r="D7" s="68" t="s">
        <v>178</v>
      </c>
      <c r="E7" s="63">
        <v>0.1</v>
      </c>
      <c r="F7" s="69" t="s">
        <v>177</v>
      </c>
      <c r="G7" s="63" t="s">
        <v>29</v>
      </c>
      <c r="H7" s="63">
        <v>0.1</v>
      </c>
      <c r="I7" s="11"/>
      <c r="J7" s="19">
        <f>I7*E7</f>
        <v>0</v>
      </c>
      <c r="K7" s="7"/>
    </row>
    <row r="8" spans="1:11" s="1" customFormat="1" x14ac:dyDescent="0.25">
      <c r="A8" s="47"/>
      <c r="B8" s="72"/>
      <c r="C8" s="72"/>
      <c r="D8" s="68" t="s">
        <v>176</v>
      </c>
      <c r="E8" s="63">
        <v>0.1</v>
      </c>
      <c r="F8" s="67" t="s">
        <v>175</v>
      </c>
      <c r="G8" s="63" t="s">
        <v>29</v>
      </c>
      <c r="H8" s="63">
        <v>0.1</v>
      </c>
      <c r="I8" s="11"/>
      <c r="J8" s="19">
        <f>I8*E8</f>
        <v>0</v>
      </c>
      <c r="K8" s="6"/>
    </row>
    <row r="9" spans="1:11" s="1" customFormat="1" x14ac:dyDescent="0.25">
      <c r="A9" s="47"/>
      <c r="B9" s="72"/>
      <c r="C9" s="72"/>
      <c r="D9" s="66" t="s">
        <v>174</v>
      </c>
      <c r="E9" s="63">
        <v>0.1</v>
      </c>
      <c r="F9" s="66" t="s">
        <v>173</v>
      </c>
      <c r="G9" s="63" t="s">
        <v>29</v>
      </c>
      <c r="H9" s="63">
        <v>0.1</v>
      </c>
      <c r="I9" s="11"/>
      <c r="J9" s="19">
        <f>I9*E9</f>
        <v>0</v>
      </c>
      <c r="K9" s="6"/>
    </row>
    <row r="10" spans="1:11" s="1" customFormat="1" ht="20.25" customHeight="1" x14ac:dyDescent="0.25">
      <c r="A10" s="47"/>
      <c r="B10" s="70"/>
      <c r="C10" s="70"/>
      <c r="D10" s="65" t="s">
        <v>172</v>
      </c>
      <c r="E10" s="63">
        <v>0.1</v>
      </c>
      <c r="F10" s="64" t="s">
        <v>171</v>
      </c>
      <c r="G10" s="63" t="s">
        <v>29</v>
      </c>
      <c r="H10" s="63">
        <v>0.1</v>
      </c>
      <c r="I10" s="12"/>
      <c r="J10" s="19">
        <f>I10*E10</f>
        <v>0</v>
      </c>
      <c r="K10" s="8"/>
    </row>
    <row r="11" spans="1:11" s="1" customFormat="1" ht="16.5" x14ac:dyDescent="0.25">
      <c r="A11" s="47"/>
      <c r="B11" s="71">
        <v>2</v>
      </c>
      <c r="C11" s="71" t="s">
        <v>15</v>
      </c>
      <c r="D11" s="17" t="s">
        <v>170</v>
      </c>
      <c r="E11" s="63">
        <v>0.35</v>
      </c>
      <c r="F11" s="17" t="s">
        <v>184</v>
      </c>
      <c r="G11" s="63" t="s">
        <v>29</v>
      </c>
      <c r="H11" s="63">
        <v>0.35</v>
      </c>
      <c r="I11" s="12"/>
      <c r="J11" s="19">
        <f>I11*E11</f>
        <v>0</v>
      </c>
      <c r="K11" s="8"/>
    </row>
    <row r="12" spans="1:11" s="1" customFormat="1" ht="16.5" x14ac:dyDescent="0.25">
      <c r="A12" s="47"/>
      <c r="B12" s="70"/>
      <c r="C12" s="70"/>
      <c r="D12" s="17" t="s">
        <v>183</v>
      </c>
      <c r="E12" s="63">
        <v>0.15</v>
      </c>
      <c r="F12" s="17" t="s">
        <v>182</v>
      </c>
      <c r="G12" s="63" t="s">
        <v>29</v>
      </c>
      <c r="H12" s="63">
        <v>0.15</v>
      </c>
      <c r="I12" s="11"/>
      <c r="J12" s="19">
        <f>I12*E12</f>
        <v>0</v>
      </c>
      <c r="K12" s="8"/>
    </row>
    <row r="13" spans="1:11" s="1" customFormat="1" ht="20.100000000000001" customHeight="1" x14ac:dyDescent="0.25">
      <c r="A13" s="47"/>
      <c r="B13" s="51" t="s">
        <v>2</v>
      </c>
      <c r="C13" s="51"/>
      <c r="D13" s="51"/>
      <c r="E13" s="51"/>
      <c r="F13" s="51"/>
      <c r="G13" s="51"/>
      <c r="H13" s="20">
        <f>SUM(H6:H12)</f>
        <v>1</v>
      </c>
      <c r="I13" s="11"/>
      <c r="J13" s="19">
        <f>SUM(J6:J12)</f>
        <v>0</v>
      </c>
      <c r="K13" s="8"/>
    </row>
    <row r="14" spans="1:11" s="1" customFormat="1" ht="20.25" customHeight="1" x14ac:dyDescent="0.25">
      <c r="A14" s="47" t="s">
        <v>24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16</v>
      </c>
      <c r="G14" s="3" t="s">
        <v>10</v>
      </c>
      <c r="H14" s="3" t="s">
        <v>17</v>
      </c>
      <c r="I14" s="13"/>
      <c r="J14" s="13"/>
      <c r="K14" s="3" t="s">
        <v>12</v>
      </c>
    </row>
    <row r="15" spans="1:11" s="1" customFormat="1" ht="29.25" customHeight="1" x14ac:dyDescent="0.25">
      <c r="A15" s="47"/>
      <c r="B15" s="5" t="s">
        <v>13</v>
      </c>
      <c r="C15" s="59" t="s">
        <v>181</v>
      </c>
      <c r="D15" s="59"/>
      <c r="E15" s="59"/>
      <c r="F15" s="59"/>
      <c r="G15" s="59"/>
      <c r="H15" s="59"/>
      <c r="I15" s="59"/>
      <c r="J15" s="59"/>
      <c r="K15" s="59"/>
    </row>
    <row r="16" spans="1:11" s="1" customFormat="1" ht="28.5" x14ac:dyDescent="0.25">
      <c r="A16" s="47"/>
      <c r="B16" s="50">
        <v>1</v>
      </c>
      <c r="C16" s="50" t="s">
        <v>14</v>
      </c>
      <c r="D16" s="66" t="s">
        <v>180</v>
      </c>
      <c r="E16" s="63">
        <v>0.1</v>
      </c>
      <c r="F16" s="67" t="s">
        <v>179</v>
      </c>
      <c r="G16" s="63" t="s">
        <v>166</v>
      </c>
      <c r="H16" s="63">
        <v>0.1</v>
      </c>
      <c r="I16" s="14"/>
      <c r="J16" s="14"/>
      <c r="K16" s="8"/>
    </row>
    <row r="17" spans="1:11" s="1" customFormat="1" x14ac:dyDescent="0.25">
      <c r="A17" s="47"/>
      <c r="B17" s="50"/>
      <c r="C17" s="50"/>
      <c r="D17" s="68" t="s">
        <v>178</v>
      </c>
      <c r="E17" s="63">
        <v>0.1</v>
      </c>
      <c r="F17" s="69" t="s">
        <v>177</v>
      </c>
      <c r="G17" s="63" t="s">
        <v>167</v>
      </c>
      <c r="H17" s="63">
        <v>0.1</v>
      </c>
      <c r="I17" s="14"/>
      <c r="J17" s="14"/>
      <c r="K17" s="8"/>
    </row>
    <row r="18" spans="1:11" s="1" customFormat="1" x14ac:dyDescent="0.25">
      <c r="A18" s="47"/>
      <c r="B18" s="50"/>
      <c r="C18" s="50"/>
      <c r="D18" s="68" t="s">
        <v>176</v>
      </c>
      <c r="E18" s="63">
        <v>0.1</v>
      </c>
      <c r="F18" s="67" t="s">
        <v>175</v>
      </c>
      <c r="G18" s="63" t="s">
        <v>166</v>
      </c>
      <c r="H18" s="63">
        <v>0.1</v>
      </c>
      <c r="I18" s="4"/>
      <c r="J18" s="4"/>
      <c r="K18" s="8"/>
    </row>
    <row r="19" spans="1:11" s="1" customFormat="1" x14ac:dyDescent="0.25">
      <c r="A19" s="47"/>
      <c r="B19" s="50"/>
      <c r="C19" s="50"/>
      <c r="D19" s="66" t="s">
        <v>174</v>
      </c>
      <c r="E19" s="63">
        <v>0.1</v>
      </c>
      <c r="F19" s="66" t="s">
        <v>173</v>
      </c>
      <c r="G19" s="63" t="s">
        <v>167</v>
      </c>
      <c r="H19" s="63">
        <v>0.1</v>
      </c>
      <c r="I19" s="4"/>
      <c r="J19" s="4"/>
      <c r="K19" s="8"/>
    </row>
    <row r="20" spans="1:11" s="1" customFormat="1" x14ac:dyDescent="0.25">
      <c r="A20" s="47"/>
      <c r="B20" s="50"/>
      <c r="C20" s="50"/>
      <c r="D20" s="65" t="s">
        <v>172</v>
      </c>
      <c r="E20" s="63">
        <v>0.1</v>
      </c>
      <c r="F20" s="64" t="s">
        <v>171</v>
      </c>
      <c r="G20" s="63" t="s">
        <v>167</v>
      </c>
      <c r="H20" s="63">
        <v>0.1</v>
      </c>
      <c r="I20" s="4"/>
      <c r="J20" s="4"/>
      <c r="K20" s="8"/>
    </row>
    <row r="21" spans="1:11" s="1" customFormat="1" ht="16.5" x14ac:dyDescent="0.25">
      <c r="A21" s="47"/>
      <c r="B21" s="50">
        <v>2</v>
      </c>
      <c r="C21" s="50" t="s">
        <v>15</v>
      </c>
      <c r="D21" s="17" t="s">
        <v>170</v>
      </c>
      <c r="E21" s="63">
        <v>0.35</v>
      </c>
      <c r="F21" s="17" t="s">
        <v>169</v>
      </c>
      <c r="G21" s="63" t="s">
        <v>166</v>
      </c>
      <c r="H21" s="63">
        <v>0.35</v>
      </c>
      <c r="I21" s="4"/>
      <c r="J21" s="4"/>
      <c r="K21" s="8"/>
    </row>
    <row r="22" spans="1:11" s="1" customFormat="1" ht="16.5" x14ac:dyDescent="0.25">
      <c r="A22" s="47"/>
      <c r="B22" s="50"/>
      <c r="C22" s="50"/>
      <c r="D22" s="17" t="s">
        <v>168</v>
      </c>
      <c r="E22" s="27">
        <v>0.15</v>
      </c>
      <c r="F22" s="17" t="s">
        <v>50</v>
      </c>
      <c r="G22" s="63" t="s">
        <v>167</v>
      </c>
      <c r="H22" s="63">
        <v>0.15</v>
      </c>
      <c r="I22" s="4"/>
      <c r="J22" s="4"/>
      <c r="K22" s="8"/>
    </row>
    <row r="23" spans="1:11" s="1" customFormat="1" ht="20.100000000000001" customHeight="1" x14ac:dyDescent="0.25">
      <c r="A23" s="47"/>
      <c r="B23" s="51" t="s">
        <v>2</v>
      </c>
      <c r="C23" s="51"/>
      <c r="D23" s="51"/>
      <c r="E23" s="51"/>
      <c r="F23" s="51"/>
      <c r="G23" s="51"/>
      <c r="H23" s="20">
        <f>SUM(H16:H22)</f>
        <v>1</v>
      </c>
      <c r="I23" s="4"/>
      <c r="J23" s="4"/>
      <c r="K23" s="8"/>
    </row>
    <row r="24" spans="1:11" s="1" customFormat="1" ht="21" customHeight="1" x14ac:dyDescent="0.25">
      <c r="A24" s="47" t="s">
        <v>18</v>
      </c>
      <c r="B24" s="52" t="s">
        <v>19</v>
      </c>
      <c r="C24" s="53"/>
      <c r="D24" s="54"/>
      <c r="E24" s="54"/>
      <c r="F24" s="54"/>
      <c r="G24" s="47" t="s">
        <v>20</v>
      </c>
      <c r="H24" s="47"/>
      <c r="I24" s="47"/>
      <c r="J24" s="47"/>
      <c r="K24" s="47"/>
    </row>
    <row r="25" spans="1:11" s="1" customFormat="1" ht="21" customHeight="1" x14ac:dyDescent="0.25">
      <c r="A25" s="47"/>
      <c r="B25" s="52"/>
      <c r="C25" s="54"/>
      <c r="D25" s="54"/>
      <c r="E25" s="54"/>
      <c r="F25" s="54"/>
      <c r="G25" s="47"/>
      <c r="H25" s="47"/>
      <c r="I25" s="47"/>
      <c r="J25" s="47"/>
      <c r="K25" s="47"/>
    </row>
    <row r="26" spans="1:11" s="1" customFormat="1" ht="3" customHeight="1" x14ac:dyDescent="0.25">
      <c r="A26" s="47"/>
      <c r="B26" s="52"/>
      <c r="C26" s="54"/>
      <c r="D26" s="54"/>
      <c r="E26" s="54"/>
      <c r="F26" s="54"/>
      <c r="G26" s="47"/>
      <c r="H26" s="47"/>
      <c r="I26" s="47"/>
      <c r="J26" s="47"/>
      <c r="K26" s="47"/>
    </row>
    <row r="27" spans="1:11" s="1" customFormat="1" ht="17.25" customHeight="1" x14ac:dyDescent="0.25">
      <c r="A27" s="47"/>
      <c r="B27" s="55" t="s">
        <v>146</v>
      </c>
      <c r="C27" s="54"/>
      <c r="D27" s="54"/>
      <c r="E27" s="54"/>
      <c r="F27" s="54"/>
      <c r="G27" s="47" t="s">
        <v>21</v>
      </c>
      <c r="H27" s="47"/>
      <c r="I27" s="47"/>
      <c r="J27" s="47"/>
      <c r="K27" s="47"/>
    </row>
    <row r="28" spans="1:11" s="1" customFormat="1" ht="17.25" customHeight="1" x14ac:dyDescent="0.25">
      <c r="A28" s="47"/>
      <c r="B28" s="52"/>
      <c r="C28" s="54"/>
      <c r="D28" s="54"/>
      <c r="E28" s="54"/>
      <c r="F28" s="54"/>
      <c r="G28" s="47"/>
      <c r="H28" s="47"/>
      <c r="I28" s="47"/>
      <c r="J28" s="47"/>
      <c r="K28" s="47"/>
    </row>
    <row r="29" spans="1:11" s="1" customFormat="1" ht="6.75" customHeight="1" x14ac:dyDescent="0.25">
      <c r="A29" s="47"/>
      <c r="B29" s="52"/>
      <c r="C29" s="54"/>
      <c r="D29" s="54"/>
      <c r="E29" s="54"/>
      <c r="F29" s="54"/>
      <c r="G29" s="47" t="s">
        <v>22</v>
      </c>
      <c r="H29" s="47"/>
      <c r="I29" s="47"/>
      <c r="J29" s="47"/>
      <c r="K29" s="47"/>
    </row>
    <row r="30" spans="1:11" s="1" customFormat="1" ht="17.25" customHeight="1" x14ac:dyDescent="0.25">
      <c r="A30" s="47"/>
      <c r="B30" s="52"/>
      <c r="C30" s="54"/>
      <c r="D30" s="54"/>
      <c r="E30" s="54"/>
      <c r="F30" s="54"/>
      <c r="G30" s="47"/>
      <c r="H30" s="47"/>
      <c r="I30" s="47"/>
      <c r="J30" s="47"/>
      <c r="K30" s="47"/>
    </row>
  </sheetData>
  <mergeCells count="27">
    <mergeCell ref="A1:K1"/>
    <mergeCell ref="A3:K3"/>
    <mergeCell ref="A4:A13"/>
    <mergeCell ref="C5:K5"/>
    <mergeCell ref="B6:B10"/>
    <mergeCell ref="C6:C10"/>
    <mergeCell ref="B11:B12"/>
    <mergeCell ref="C11:C12"/>
    <mergeCell ref="B13:G13"/>
    <mergeCell ref="G29:G30"/>
    <mergeCell ref="A14:A23"/>
    <mergeCell ref="C15:K15"/>
    <mergeCell ref="B16:B20"/>
    <mergeCell ref="C16:C20"/>
    <mergeCell ref="B21:B22"/>
    <mergeCell ref="C21:C22"/>
    <mergeCell ref="B23:G23"/>
    <mergeCell ref="H29:K30"/>
    <mergeCell ref="A24:A30"/>
    <mergeCell ref="B24:B26"/>
    <mergeCell ref="C24:F26"/>
    <mergeCell ref="G24:G26"/>
    <mergeCell ref="H24:K26"/>
    <mergeCell ref="B27:B30"/>
    <mergeCell ref="C27:F30"/>
    <mergeCell ref="G27:G28"/>
    <mergeCell ref="H27:K28"/>
  </mergeCells>
  <phoneticPr fontId="1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31"/>
  <sheetViews>
    <sheetView showGridLines="0" workbookViewId="0">
      <selection activeCell="F22" sqref="F22"/>
    </sheetView>
  </sheetViews>
  <sheetFormatPr defaultColWidth="8.625" defaultRowHeight="15" customHeight="1" x14ac:dyDescent="0.25"/>
  <cols>
    <col min="1" max="1" width="9" style="1" customWidth="1"/>
    <col min="2" max="2" width="17.5" style="1" customWidth="1"/>
    <col min="3" max="3" width="11.375" style="1" customWidth="1"/>
    <col min="4" max="5" width="31.5" style="1" customWidth="1"/>
    <col min="6" max="6" width="58.25" style="1" customWidth="1"/>
    <col min="7" max="7" width="16.125" style="1" customWidth="1"/>
    <col min="8" max="8" width="11.375" style="1" customWidth="1"/>
    <col min="9" max="10" width="11.5" style="15" customWidth="1"/>
    <col min="11" max="11" width="24" style="1" customWidth="1"/>
    <col min="12" max="42" width="8.625" style="1"/>
    <col min="43" max="16384" width="8.625" style="2"/>
  </cols>
  <sheetData>
    <row r="1" spans="1:11" s="1" customFormat="1" ht="23.25" customHeight="1" x14ac:dyDescent="0.25">
      <c r="A1" s="44" t="s">
        <v>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1" customFormat="1" ht="5.25" customHeight="1" x14ac:dyDescent="0.25">
      <c r="A2" s="21"/>
      <c r="B2" s="21"/>
      <c r="C2" s="21"/>
      <c r="D2" s="21"/>
      <c r="E2" s="21"/>
      <c r="F2" s="21"/>
      <c r="G2" s="21"/>
      <c r="H2" s="21"/>
      <c r="I2" s="9"/>
      <c r="J2" s="9"/>
      <c r="K2" s="21"/>
    </row>
    <row r="3" spans="1:11" s="1" customFormat="1" ht="16.5" customHeight="1" x14ac:dyDescent="0.25">
      <c r="A3" s="56" t="s">
        <v>118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s="1" customFormat="1" ht="20.25" customHeight="1" x14ac:dyDescent="0.25">
      <c r="A4" s="47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10" t="s">
        <v>0</v>
      </c>
      <c r="J4" s="10" t="s">
        <v>1</v>
      </c>
      <c r="K4" s="3" t="s">
        <v>12</v>
      </c>
    </row>
    <row r="5" spans="1:11" s="1" customFormat="1" ht="27.75" customHeight="1" x14ac:dyDescent="0.25">
      <c r="A5" s="47"/>
      <c r="B5" s="5" t="s">
        <v>13</v>
      </c>
      <c r="C5" s="57" t="s">
        <v>117</v>
      </c>
      <c r="D5" s="49"/>
      <c r="E5" s="49"/>
      <c r="F5" s="49"/>
      <c r="G5" s="49"/>
      <c r="H5" s="49"/>
      <c r="I5" s="49"/>
      <c r="J5" s="49"/>
      <c r="K5" s="49"/>
    </row>
    <row r="6" spans="1:11" s="1" customFormat="1" ht="16.5" x14ac:dyDescent="0.25">
      <c r="A6" s="47"/>
      <c r="B6" s="50">
        <v>1</v>
      </c>
      <c r="C6" s="50" t="s">
        <v>14</v>
      </c>
      <c r="D6" s="23" t="s">
        <v>105</v>
      </c>
      <c r="E6" s="4">
        <v>0.2</v>
      </c>
      <c r="F6" s="23" t="s">
        <v>116</v>
      </c>
      <c r="G6" s="4" t="s">
        <v>115</v>
      </c>
      <c r="H6" s="4">
        <v>0.2</v>
      </c>
      <c r="I6" s="11"/>
      <c r="J6" s="19">
        <f t="shared" ref="J6:J13" si="0">I6*E6</f>
        <v>0</v>
      </c>
      <c r="K6" s="6"/>
    </row>
    <row r="7" spans="1:11" s="1" customFormat="1" ht="33" x14ac:dyDescent="0.25">
      <c r="A7" s="47"/>
      <c r="B7" s="50"/>
      <c r="C7" s="50"/>
      <c r="D7" s="23" t="s">
        <v>114</v>
      </c>
      <c r="E7" s="4">
        <v>0.1</v>
      </c>
      <c r="F7" s="23" t="s">
        <v>113</v>
      </c>
      <c r="G7" s="4" t="s">
        <v>97</v>
      </c>
      <c r="H7" s="4">
        <v>0.15</v>
      </c>
      <c r="I7" s="11"/>
      <c r="J7" s="19">
        <f t="shared" si="0"/>
        <v>0</v>
      </c>
      <c r="K7" s="7"/>
    </row>
    <row r="8" spans="1:11" s="1" customFormat="1" ht="16.5" x14ac:dyDescent="0.25">
      <c r="A8" s="47"/>
      <c r="B8" s="50"/>
      <c r="C8" s="50"/>
      <c r="D8" s="23" t="s">
        <v>112</v>
      </c>
      <c r="E8" s="4">
        <v>0.1</v>
      </c>
      <c r="F8" s="23" t="s">
        <v>100</v>
      </c>
      <c r="G8" s="4" t="s">
        <v>109</v>
      </c>
      <c r="H8" s="4">
        <v>0.1</v>
      </c>
      <c r="I8" s="11"/>
      <c r="J8" s="19">
        <f t="shared" si="0"/>
        <v>0</v>
      </c>
      <c r="K8" s="6"/>
    </row>
    <row r="9" spans="1:11" s="1" customFormat="1" ht="33" x14ac:dyDescent="0.25">
      <c r="A9" s="47"/>
      <c r="B9" s="50"/>
      <c r="C9" s="50"/>
      <c r="D9" s="23" t="s">
        <v>111</v>
      </c>
      <c r="E9" s="4">
        <v>0.1</v>
      </c>
      <c r="F9" s="38" t="s">
        <v>110</v>
      </c>
      <c r="G9" s="4" t="s">
        <v>109</v>
      </c>
      <c r="H9" s="4">
        <v>0.1</v>
      </c>
      <c r="I9" s="11"/>
      <c r="J9" s="19">
        <f t="shared" si="0"/>
        <v>0</v>
      </c>
      <c r="K9" s="6"/>
    </row>
    <row r="10" spans="1:11" s="1" customFormat="1" ht="16.5" x14ac:dyDescent="0.25">
      <c r="A10" s="47"/>
      <c r="B10" s="50">
        <v>2</v>
      </c>
      <c r="C10" s="50" t="s">
        <v>15</v>
      </c>
      <c r="D10" s="17" t="s">
        <v>96</v>
      </c>
      <c r="E10" s="4">
        <v>0.1</v>
      </c>
      <c r="F10" s="17" t="s">
        <v>188</v>
      </c>
      <c r="G10" s="43" t="s">
        <v>86</v>
      </c>
      <c r="H10" s="4">
        <v>0.1</v>
      </c>
      <c r="I10" s="12"/>
      <c r="J10" s="19">
        <f t="shared" si="0"/>
        <v>0</v>
      </c>
      <c r="K10" s="8"/>
    </row>
    <row r="11" spans="1:11" s="1" customFormat="1" ht="16.5" x14ac:dyDescent="0.25">
      <c r="A11" s="47"/>
      <c r="B11" s="50"/>
      <c r="C11" s="50"/>
      <c r="D11" s="17" t="s">
        <v>108</v>
      </c>
      <c r="E11" s="4">
        <v>0.1</v>
      </c>
      <c r="F11" s="17" t="s">
        <v>90</v>
      </c>
      <c r="G11" s="4" t="s">
        <v>97</v>
      </c>
      <c r="H11" s="4">
        <v>0.1</v>
      </c>
      <c r="I11" s="12"/>
      <c r="J11" s="19">
        <f t="shared" si="0"/>
        <v>0</v>
      </c>
      <c r="K11" s="8"/>
    </row>
    <row r="12" spans="1:11" s="1" customFormat="1" ht="16.5" x14ac:dyDescent="0.25">
      <c r="A12" s="47"/>
      <c r="B12" s="50"/>
      <c r="C12" s="50"/>
      <c r="D12" s="17" t="s">
        <v>95</v>
      </c>
      <c r="E12" s="4">
        <v>0.1</v>
      </c>
      <c r="F12" s="17" t="s">
        <v>94</v>
      </c>
      <c r="G12" s="43" t="s">
        <v>86</v>
      </c>
      <c r="H12" s="4">
        <v>0.1</v>
      </c>
      <c r="I12" s="12"/>
      <c r="J12" s="19">
        <f t="shared" si="0"/>
        <v>0</v>
      </c>
      <c r="K12" s="8"/>
    </row>
    <row r="13" spans="1:11" s="1" customFormat="1" ht="16.5" x14ac:dyDescent="0.25">
      <c r="A13" s="47"/>
      <c r="B13" s="50"/>
      <c r="C13" s="50"/>
      <c r="D13" s="17" t="s">
        <v>93</v>
      </c>
      <c r="E13" s="4">
        <v>0.1</v>
      </c>
      <c r="F13" s="17" t="s">
        <v>107</v>
      </c>
      <c r="G13" s="4" t="s">
        <v>97</v>
      </c>
      <c r="H13" s="4">
        <v>0.15</v>
      </c>
      <c r="I13" s="11"/>
      <c r="J13" s="19">
        <f t="shared" si="0"/>
        <v>0</v>
      </c>
      <c r="K13" s="8"/>
    </row>
    <row r="14" spans="1:11" s="1" customFormat="1" ht="20.100000000000001" customHeight="1" x14ac:dyDescent="0.25">
      <c r="A14" s="47"/>
      <c r="B14" s="51" t="s">
        <v>2</v>
      </c>
      <c r="C14" s="51"/>
      <c r="D14" s="51"/>
      <c r="E14" s="51"/>
      <c r="F14" s="51"/>
      <c r="G14" s="51"/>
      <c r="H14" s="20">
        <f>SUM(H6:H13)</f>
        <v>0.99999999999999989</v>
      </c>
      <c r="I14" s="11"/>
      <c r="J14" s="19">
        <f>SUM(J6:J13)</f>
        <v>0</v>
      </c>
      <c r="K14" s="8"/>
    </row>
    <row r="15" spans="1:11" s="1" customFormat="1" ht="20.25" customHeight="1" x14ac:dyDescent="0.25">
      <c r="A15" s="47" t="s">
        <v>24</v>
      </c>
      <c r="B15" s="3" t="s">
        <v>5</v>
      </c>
      <c r="C15" s="3" t="s">
        <v>6</v>
      </c>
      <c r="D15" s="3" t="s">
        <v>7</v>
      </c>
      <c r="E15" s="3" t="s">
        <v>8</v>
      </c>
      <c r="F15" s="3" t="s">
        <v>16</v>
      </c>
      <c r="G15" s="3" t="s">
        <v>10</v>
      </c>
      <c r="H15" s="3" t="s">
        <v>17</v>
      </c>
      <c r="I15" s="13"/>
      <c r="J15" s="13"/>
      <c r="K15" s="3" t="s">
        <v>12</v>
      </c>
    </row>
    <row r="16" spans="1:11" s="1" customFormat="1" ht="29.25" customHeight="1" x14ac:dyDescent="0.25">
      <c r="A16" s="47"/>
      <c r="B16" s="5" t="s">
        <v>13</v>
      </c>
      <c r="C16" s="57" t="s">
        <v>106</v>
      </c>
      <c r="D16" s="49"/>
      <c r="E16" s="49"/>
      <c r="F16" s="49"/>
      <c r="G16" s="49"/>
      <c r="H16" s="49"/>
      <c r="I16" s="49"/>
      <c r="J16" s="49"/>
      <c r="K16" s="49"/>
    </row>
    <row r="17" spans="1:11" s="1" customFormat="1" ht="16.5" x14ac:dyDescent="0.25">
      <c r="A17" s="47"/>
      <c r="B17" s="50">
        <v>1</v>
      </c>
      <c r="C17" s="50" t="s">
        <v>14</v>
      </c>
      <c r="D17" s="23" t="s">
        <v>105</v>
      </c>
      <c r="E17" s="4">
        <v>0.2</v>
      </c>
      <c r="F17" s="23" t="s">
        <v>104</v>
      </c>
      <c r="G17" s="4" t="s">
        <v>97</v>
      </c>
      <c r="H17" s="4">
        <v>0.2</v>
      </c>
      <c r="I17" s="14"/>
      <c r="J17" s="14"/>
      <c r="K17" s="8"/>
    </row>
    <row r="18" spans="1:11" s="1" customFormat="1" ht="33" x14ac:dyDescent="0.25">
      <c r="A18" s="47"/>
      <c r="B18" s="50"/>
      <c r="C18" s="50"/>
      <c r="D18" s="23" t="s">
        <v>103</v>
      </c>
      <c r="E18" s="4">
        <v>0.1</v>
      </c>
      <c r="F18" s="23" t="s">
        <v>102</v>
      </c>
      <c r="G18" s="4" t="s">
        <v>97</v>
      </c>
      <c r="H18" s="4">
        <v>0.1</v>
      </c>
      <c r="I18" s="14"/>
      <c r="J18" s="14"/>
      <c r="K18" s="8"/>
    </row>
    <row r="19" spans="1:11" s="1" customFormat="1" ht="16.5" x14ac:dyDescent="0.25">
      <c r="A19" s="47"/>
      <c r="B19" s="50"/>
      <c r="C19" s="50"/>
      <c r="D19" s="23" t="s">
        <v>101</v>
      </c>
      <c r="E19" s="4">
        <v>0.1</v>
      </c>
      <c r="F19" s="23" t="s">
        <v>100</v>
      </c>
      <c r="G19" s="4" t="s">
        <v>97</v>
      </c>
      <c r="H19" s="4">
        <v>0.1</v>
      </c>
      <c r="I19" s="4"/>
      <c r="J19" s="4"/>
      <c r="K19" s="8"/>
    </row>
    <row r="20" spans="1:11" s="1" customFormat="1" ht="33" x14ac:dyDescent="0.25">
      <c r="A20" s="47"/>
      <c r="B20" s="50"/>
      <c r="C20" s="50"/>
      <c r="D20" s="23" t="s">
        <v>99</v>
      </c>
      <c r="E20" s="4">
        <v>0.1</v>
      </c>
      <c r="F20" s="38" t="s">
        <v>98</v>
      </c>
      <c r="G20" s="4" t="s">
        <v>97</v>
      </c>
      <c r="H20" s="4">
        <v>0.1</v>
      </c>
      <c r="I20" s="4"/>
      <c r="J20" s="4"/>
      <c r="K20" s="8"/>
    </row>
    <row r="21" spans="1:11" s="1" customFormat="1" ht="16.5" x14ac:dyDescent="0.25">
      <c r="A21" s="47"/>
      <c r="B21" s="50">
        <v>2</v>
      </c>
      <c r="C21" s="50" t="s">
        <v>15</v>
      </c>
      <c r="D21" s="17" t="s">
        <v>36</v>
      </c>
      <c r="E21" s="4">
        <v>0.2</v>
      </c>
      <c r="F21" s="17" t="s">
        <v>46</v>
      </c>
      <c r="G21" s="43" t="s">
        <v>86</v>
      </c>
      <c r="H21" s="4">
        <v>0.2</v>
      </c>
      <c r="I21" s="4"/>
      <c r="J21" s="4"/>
      <c r="K21" s="8"/>
    </row>
    <row r="22" spans="1:11" s="1" customFormat="1" ht="16.5" x14ac:dyDescent="0.25">
      <c r="A22" s="47"/>
      <c r="B22" s="50"/>
      <c r="C22" s="50"/>
      <c r="D22" s="17" t="s">
        <v>95</v>
      </c>
      <c r="E22" s="4">
        <v>0.1</v>
      </c>
      <c r="F22" s="17" t="s">
        <v>51</v>
      </c>
      <c r="G22" s="43" t="s">
        <v>86</v>
      </c>
      <c r="H22" s="4">
        <v>0.1</v>
      </c>
      <c r="I22" s="4"/>
      <c r="J22" s="4"/>
      <c r="K22" s="8"/>
    </row>
    <row r="23" spans="1:11" s="1" customFormat="1" ht="16.5" x14ac:dyDescent="0.25">
      <c r="A23" s="47"/>
      <c r="B23" s="50"/>
      <c r="C23" s="50"/>
      <c r="D23" s="17" t="s">
        <v>42</v>
      </c>
      <c r="E23" s="4">
        <v>0.2</v>
      </c>
      <c r="F23" s="17" t="s">
        <v>45</v>
      </c>
      <c r="G23" s="43" t="s">
        <v>86</v>
      </c>
      <c r="H23" s="4">
        <v>0.2</v>
      </c>
      <c r="I23" s="4"/>
      <c r="J23" s="4"/>
      <c r="K23" s="8"/>
    </row>
    <row r="24" spans="1:11" s="1" customFormat="1" ht="20.100000000000001" customHeight="1" x14ac:dyDescent="0.25">
      <c r="A24" s="47"/>
      <c r="B24" s="51" t="s">
        <v>2</v>
      </c>
      <c r="C24" s="51"/>
      <c r="D24" s="51"/>
      <c r="E24" s="51"/>
      <c r="F24" s="51"/>
      <c r="G24" s="51"/>
      <c r="H24" s="20">
        <f>SUM(H17:H23)</f>
        <v>1</v>
      </c>
      <c r="I24" s="4"/>
      <c r="J24" s="4"/>
      <c r="K24" s="8"/>
    </row>
    <row r="25" spans="1:11" s="1" customFormat="1" ht="21" customHeight="1" x14ac:dyDescent="0.25">
      <c r="A25" s="47" t="s">
        <v>18</v>
      </c>
      <c r="B25" s="52" t="s">
        <v>19</v>
      </c>
      <c r="C25" s="53"/>
      <c r="D25" s="54"/>
      <c r="E25" s="54"/>
      <c r="F25" s="54"/>
      <c r="G25" s="47" t="s">
        <v>20</v>
      </c>
      <c r="H25" s="47"/>
      <c r="I25" s="47"/>
      <c r="J25" s="47"/>
      <c r="K25" s="47"/>
    </row>
    <row r="26" spans="1:11" s="1" customFormat="1" ht="21" customHeight="1" x14ac:dyDescent="0.25">
      <c r="A26" s="47"/>
      <c r="B26" s="52"/>
      <c r="C26" s="54"/>
      <c r="D26" s="54"/>
      <c r="E26" s="54"/>
      <c r="F26" s="54"/>
      <c r="G26" s="47"/>
      <c r="H26" s="47"/>
      <c r="I26" s="47"/>
      <c r="J26" s="47"/>
      <c r="K26" s="47"/>
    </row>
    <row r="27" spans="1:11" s="1" customFormat="1" ht="3" customHeight="1" x14ac:dyDescent="0.25">
      <c r="A27" s="47"/>
      <c r="B27" s="52"/>
      <c r="C27" s="54"/>
      <c r="D27" s="54"/>
      <c r="E27" s="54"/>
      <c r="F27" s="54"/>
      <c r="G27" s="47"/>
      <c r="H27" s="47"/>
      <c r="I27" s="47"/>
      <c r="J27" s="47"/>
      <c r="K27" s="47"/>
    </row>
    <row r="28" spans="1:11" s="1" customFormat="1" ht="17.25" customHeight="1" x14ac:dyDescent="0.25">
      <c r="A28" s="47"/>
      <c r="B28" s="55" t="s">
        <v>92</v>
      </c>
      <c r="C28" s="54"/>
      <c r="D28" s="54"/>
      <c r="E28" s="54"/>
      <c r="F28" s="54"/>
      <c r="G28" s="47" t="s">
        <v>21</v>
      </c>
      <c r="H28" s="47"/>
      <c r="I28" s="47"/>
      <c r="J28" s="47"/>
      <c r="K28" s="47"/>
    </row>
    <row r="29" spans="1:11" s="1" customFormat="1" ht="17.25" customHeight="1" x14ac:dyDescent="0.25">
      <c r="A29" s="47"/>
      <c r="B29" s="52"/>
      <c r="C29" s="54"/>
      <c r="D29" s="54"/>
      <c r="E29" s="54"/>
      <c r="F29" s="54"/>
      <c r="G29" s="47"/>
      <c r="H29" s="47"/>
      <c r="I29" s="47"/>
      <c r="J29" s="47"/>
      <c r="K29" s="47"/>
    </row>
    <row r="30" spans="1:11" s="1" customFormat="1" ht="6.75" customHeight="1" x14ac:dyDescent="0.25">
      <c r="A30" s="47"/>
      <c r="B30" s="52"/>
      <c r="C30" s="54"/>
      <c r="D30" s="54"/>
      <c r="E30" s="54"/>
      <c r="F30" s="54"/>
      <c r="G30" s="47" t="s">
        <v>22</v>
      </c>
      <c r="H30" s="47"/>
      <c r="I30" s="47"/>
      <c r="J30" s="47"/>
      <c r="K30" s="47"/>
    </row>
    <row r="31" spans="1:11" s="1" customFormat="1" ht="17.25" customHeight="1" x14ac:dyDescent="0.25">
      <c r="A31" s="47"/>
      <c r="B31" s="52"/>
      <c r="C31" s="54"/>
      <c r="D31" s="54"/>
      <c r="E31" s="54"/>
      <c r="F31" s="54"/>
      <c r="G31" s="47"/>
      <c r="H31" s="47"/>
      <c r="I31" s="47"/>
      <c r="J31" s="47"/>
      <c r="K31" s="47"/>
    </row>
  </sheetData>
  <mergeCells count="27">
    <mergeCell ref="G28:G29"/>
    <mergeCell ref="H28:K29"/>
    <mergeCell ref="G30:G31"/>
    <mergeCell ref="A15:A24"/>
    <mergeCell ref="C16:K16"/>
    <mergeCell ref="B17:B20"/>
    <mergeCell ref="C17:C20"/>
    <mergeCell ref="B21:B23"/>
    <mergeCell ref="C21:C23"/>
    <mergeCell ref="B24:G24"/>
    <mergeCell ref="H30:K31"/>
    <mergeCell ref="A25:A31"/>
    <mergeCell ref="B25:B27"/>
    <mergeCell ref="C25:F27"/>
    <mergeCell ref="G25:G27"/>
    <mergeCell ref="H25:K27"/>
    <mergeCell ref="B28:B31"/>
    <mergeCell ref="C28:F31"/>
    <mergeCell ref="A1:K1"/>
    <mergeCell ref="A3:K3"/>
    <mergeCell ref="A4:A14"/>
    <mergeCell ref="C5:K5"/>
    <mergeCell ref="B6:B9"/>
    <mergeCell ref="C6:C9"/>
    <mergeCell ref="B10:B13"/>
    <mergeCell ref="C10:C13"/>
    <mergeCell ref="B14:G14"/>
  </mergeCells>
  <phoneticPr fontId="1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28"/>
  <sheetViews>
    <sheetView showGridLines="0" topLeftCell="A2" workbookViewId="0">
      <selection activeCell="D20" sqref="D20"/>
    </sheetView>
  </sheetViews>
  <sheetFormatPr defaultColWidth="8.625" defaultRowHeight="15" customHeight="1" x14ac:dyDescent="0.25"/>
  <cols>
    <col min="1" max="1" width="9" style="1" customWidth="1"/>
    <col min="2" max="2" width="17.5" style="1" customWidth="1"/>
    <col min="3" max="3" width="11.375" style="1" customWidth="1"/>
    <col min="4" max="5" width="31.5" style="1" customWidth="1"/>
    <col min="6" max="6" width="58.25" style="1" customWidth="1"/>
    <col min="7" max="7" width="16.125" style="1" customWidth="1"/>
    <col min="8" max="8" width="11.375" style="1" customWidth="1"/>
    <col min="9" max="10" width="11.5" style="15" customWidth="1"/>
    <col min="11" max="11" width="24" style="1" customWidth="1"/>
    <col min="12" max="42" width="8.625" style="1"/>
    <col min="43" max="16384" width="8.625" style="2"/>
  </cols>
  <sheetData>
    <row r="1" spans="1:11" s="1" customFormat="1" ht="23.25" customHeight="1" x14ac:dyDescent="0.25">
      <c r="A1" s="44" t="s">
        <v>3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1" customFormat="1" ht="5.25" customHeight="1" x14ac:dyDescent="0.25">
      <c r="A2" s="21"/>
      <c r="B2" s="21"/>
      <c r="C2" s="21"/>
      <c r="D2" s="21"/>
      <c r="E2" s="21"/>
      <c r="F2" s="21"/>
      <c r="G2" s="21"/>
      <c r="H2" s="21"/>
      <c r="I2" s="9"/>
      <c r="J2" s="9"/>
      <c r="K2" s="21"/>
    </row>
    <row r="3" spans="1:11" s="1" customFormat="1" ht="16.5" customHeight="1" x14ac:dyDescent="0.25">
      <c r="A3" s="56" t="s">
        <v>145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s="1" customFormat="1" ht="20.25" customHeight="1" x14ac:dyDescent="0.25">
      <c r="A4" s="47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10" t="s">
        <v>0</v>
      </c>
      <c r="J4" s="10" t="s">
        <v>1</v>
      </c>
      <c r="K4" s="3" t="s">
        <v>12</v>
      </c>
    </row>
    <row r="5" spans="1:11" s="1" customFormat="1" ht="27.75" customHeight="1" x14ac:dyDescent="0.25">
      <c r="A5" s="47"/>
      <c r="B5" s="5" t="s">
        <v>13</v>
      </c>
      <c r="C5" s="59" t="s">
        <v>144</v>
      </c>
      <c r="D5" s="49"/>
      <c r="E5" s="49"/>
      <c r="F5" s="49"/>
      <c r="G5" s="49"/>
      <c r="H5" s="49"/>
      <c r="I5" s="49"/>
      <c r="J5" s="49"/>
      <c r="K5" s="49"/>
    </row>
    <row r="6" spans="1:11" s="1" customFormat="1" ht="16.5" x14ac:dyDescent="0.25">
      <c r="A6" s="47"/>
      <c r="B6" s="50">
        <v>1</v>
      </c>
      <c r="C6" s="50" t="s">
        <v>14</v>
      </c>
      <c r="D6" s="23" t="s">
        <v>137</v>
      </c>
      <c r="E6" s="4">
        <v>0.25</v>
      </c>
      <c r="F6" s="23" t="s">
        <v>135</v>
      </c>
      <c r="G6" s="4" t="s">
        <v>126</v>
      </c>
      <c r="H6" s="4">
        <v>0.25</v>
      </c>
      <c r="I6" s="11"/>
      <c r="J6" s="19">
        <f>I6*E6</f>
        <v>0</v>
      </c>
      <c r="K6" s="6"/>
    </row>
    <row r="7" spans="1:11" s="1" customFormat="1" ht="16.5" x14ac:dyDescent="0.25">
      <c r="A7" s="47"/>
      <c r="B7" s="50"/>
      <c r="C7" s="50"/>
      <c r="D7" s="23" t="s">
        <v>134</v>
      </c>
      <c r="E7" s="4">
        <v>0.25</v>
      </c>
      <c r="F7" s="23" t="s">
        <v>132</v>
      </c>
      <c r="G7" s="4" t="s">
        <v>109</v>
      </c>
      <c r="H7" s="4">
        <v>0.25</v>
      </c>
      <c r="I7" s="11"/>
      <c r="J7" s="19">
        <f>I7*E7</f>
        <v>0</v>
      </c>
      <c r="K7" s="7"/>
    </row>
    <row r="8" spans="1:11" s="1" customFormat="1" ht="16.5" x14ac:dyDescent="0.25">
      <c r="A8" s="47"/>
      <c r="B8" s="50"/>
      <c r="C8" s="50"/>
      <c r="D8" s="23" t="s">
        <v>143</v>
      </c>
      <c r="E8" s="4">
        <v>0.1</v>
      </c>
      <c r="F8" s="23" t="s">
        <v>142</v>
      </c>
      <c r="G8" s="4" t="s">
        <v>109</v>
      </c>
      <c r="H8" s="4">
        <v>0.1</v>
      </c>
      <c r="I8" s="11"/>
      <c r="J8" s="19">
        <f>I8*E8</f>
        <v>0</v>
      </c>
      <c r="K8" s="6"/>
    </row>
    <row r="9" spans="1:11" s="1" customFormat="1" ht="16.5" x14ac:dyDescent="0.25">
      <c r="A9" s="47"/>
      <c r="B9" s="50"/>
      <c r="C9" s="50"/>
      <c r="D9" s="23" t="s">
        <v>128</v>
      </c>
      <c r="E9" s="4">
        <v>0.1</v>
      </c>
      <c r="F9" s="23" t="s">
        <v>141</v>
      </c>
      <c r="G9" s="4" t="s">
        <v>126</v>
      </c>
      <c r="H9" s="4">
        <v>0.1</v>
      </c>
      <c r="I9" s="11"/>
      <c r="J9" s="19">
        <f>I9*E9</f>
        <v>0</v>
      </c>
      <c r="K9" s="6"/>
    </row>
    <row r="10" spans="1:11" s="1" customFormat="1" ht="16.5" x14ac:dyDescent="0.25">
      <c r="A10" s="47"/>
      <c r="B10" s="50">
        <v>2</v>
      </c>
      <c r="C10" s="50" t="s">
        <v>15</v>
      </c>
      <c r="D10" s="23" t="s">
        <v>49</v>
      </c>
      <c r="E10" s="4">
        <v>0.15</v>
      </c>
      <c r="F10" s="23" t="s">
        <v>140</v>
      </c>
      <c r="G10" s="4" t="s">
        <v>123</v>
      </c>
      <c r="H10" s="4">
        <v>0.15</v>
      </c>
      <c r="I10" s="11"/>
      <c r="J10" s="19"/>
      <c r="K10" s="6"/>
    </row>
    <row r="11" spans="1:11" s="1" customFormat="1" ht="23.25" customHeight="1" x14ac:dyDescent="0.25">
      <c r="A11" s="47"/>
      <c r="B11" s="50"/>
      <c r="C11" s="50"/>
      <c r="D11" s="23" t="s">
        <v>122</v>
      </c>
      <c r="E11" s="4">
        <v>0.15</v>
      </c>
      <c r="F11" s="23" t="s">
        <v>120</v>
      </c>
      <c r="G11" s="4" t="s">
        <v>123</v>
      </c>
      <c r="H11" s="4">
        <v>0.15</v>
      </c>
      <c r="I11" s="12"/>
      <c r="J11" s="19">
        <f>I11*E11</f>
        <v>0</v>
      </c>
      <c r="K11" s="8"/>
    </row>
    <row r="12" spans="1:11" s="1" customFormat="1" ht="20.100000000000001" customHeight="1" x14ac:dyDescent="0.25">
      <c r="A12" s="47"/>
      <c r="B12" s="51" t="s">
        <v>2</v>
      </c>
      <c r="C12" s="51"/>
      <c r="D12" s="51"/>
      <c r="E12" s="51"/>
      <c r="F12" s="51"/>
      <c r="G12" s="51"/>
      <c r="H12" s="20">
        <f>SUM(H6:H11)</f>
        <v>1</v>
      </c>
      <c r="I12" s="11"/>
      <c r="J12" s="19">
        <f>SUM(J6:J11)</f>
        <v>0</v>
      </c>
      <c r="K12" s="8"/>
    </row>
    <row r="13" spans="1:11" s="1" customFormat="1" ht="20.25" customHeight="1" x14ac:dyDescent="0.25">
      <c r="A13" s="47" t="s">
        <v>24</v>
      </c>
      <c r="B13" s="3" t="s">
        <v>5</v>
      </c>
      <c r="C13" s="3" t="s">
        <v>6</v>
      </c>
      <c r="D13" s="3" t="s">
        <v>7</v>
      </c>
      <c r="E13" s="3" t="s">
        <v>8</v>
      </c>
      <c r="F13" s="3" t="s">
        <v>16</v>
      </c>
      <c r="G13" s="3" t="s">
        <v>10</v>
      </c>
      <c r="H13" s="3" t="s">
        <v>17</v>
      </c>
      <c r="I13" s="13"/>
      <c r="J13" s="13"/>
      <c r="K13" s="3" t="s">
        <v>12</v>
      </c>
    </row>
    <row r="14" spans="1:11" s="1" customFormat="1" ht="29.25" customHeight="1" x14ac:dyDescent="0.25">
      <c r="A14" s="47"/>
      <c r="B14" s="5" t="s">
        <v>13</v>
      </c>
      <c r="C14" s="59" t="s">
        <v>139</v>
      </c>
      <c r="D14" s="49"/>
      <c r="E14" s="49"/>
      <c r="F14" s="49"/>
      <c r="G14" s="49"/>
      <c r="H14" s="49"/>
      <c r="I14" s="49"/>
      <c r="J14" s="49"/>
      <c r="K14" s="49"/>
    </row>
    <row r="15" spans="1:11" s="1" customFormat="1" ht="16.5" x14ac:dyDescent="0.25">
      <c r="A15" s="47"/>
      <c r="B15" s="50">
        <v>1</v>
      </c>
      <c r="C15" s="50" t="s">
        <v>14</v>
      </c>
      <c r="D15" s="23" t="s">
        <v>138</v>
      </c>
      <c r="E15" s="4">
        <v>0.25</v>
      </c>
      <c r="F15" s="23" t="s">
        <v>136</v>
      </c>
      <c r="G15" s="4" t="s">
        <v>126</v>
      </c>
      <c r="H15" s="4">
        <v>0.25</v>
      </c>
      <c r="I15" s="14"/>
      <c r="J15" s="14"/>
      <c r="K15" s="8"/>
    </row>
    <row r="16" spans="1:11" s="1" customFormat="1" ht="16.5" x14ac:dyDescent="0.25">
      <c r="A16" s="47"/>
      <c r="B16" s="50"/>
      <c r="C16" s="50"/>
      <c r="D16" s="23" t="s">
        <v>134</v>
      </c>
      <c r="E16" s="4">
        <v>0.25</v>
      </c>
      <c r="F16" s="23" t="s">
        <v>133</v>
      </c>
      <c r="G16" s="4" t="s">
        <v>126</v>
      </c>
      <c r="H16" s="4">
        <v>0.25</v>
      </c>
      <c r="I16" s="14"/>
      <c r="J16" s="14"/>
      <c r="K16" s="8"/>
    </row>
    <row r="17" spans="1:11" s="1" customFormat="1" ht="16.5" x14ac:dyDescent="0.25">
      <c r="A17" s="47"/>
      <c r="B17" s="50"/>
      <c r="C17" s="50"/>
      <c r="D17" s="23" t="s">
        <v>131</v>
      </c>
      <c r="E17" s="4">
        <v>0.1</v>
      </c>
      <c r="F17" s="23" t="s">
        <v>130</v>
      </c>
      <c r="G17" s="4" t="s">
        <v>126</v>
      </c>
      <c r="H17" s="4">
        <v>0.1</v>
      </c>
      <c r="I17" s="4"/>
      <c r="J17" s="4"/>
      <c r="K17" s="8"/>
    </row>
    <row r="18" spans="1:11" s="1" customFormat="1" ht="16.5" x14ac:dyDescent="0.25">
      <c r="A18" s="47"/>
      <c r="B18" s="50"/>
      <c r="C18" s="50"/>
      <c r="D18" s="23" t="s">
        <v>129</v>
      </c>
      <c r="E18" s="4">
        <v>0.1</v>
      </c>
      <c r="F18" s="23" t="s">
        <v>127</v>
      </c>
      <c r="G18" s="4" t="s">
        <v>126</v>
      </c>
      <c r="H18" s="4">
        <v>0.1</v>
      </c>
      <c r="I18" s="4"/>
      <c r="J18" s="4"/>
      <c r="K18" s="8"/>
    </row>
    <row r="19" spans="1:11" s="1" customFormat="1" ht="20.25" customHeight="1" x14ac:dyDescent="0.25">
      <c r="A19" s="47"/>
      <c r="B19" s="50">
        <v>2</v>
      </c>
      <c r="C19" s="50" t="s">
        <v>15</v>
      </c>
      <c r="D19" s="23" t="s">
        <v>125</v>
      </c>
      <c r="E19" s="4">
        <v>0.15</v>
      </c>
      <c r="F19" s="23" t="s">
        <v>124</v>
      </c>
      <c r="G19" s="4" t="s">
        <v>123</v>
      </c>
      <c r="H19" s="4">
        <v>0.15</v>
      </c>
      <c r="I19" s="4"/>
      <c r="J19" s="4"/>
      <c r="K19" s="8"/>
    </row>
    <row r="20" spans="1:11" s="1" customFormat="1" ht="16.5" x14ac:dyDescent="0.25">
      <c r="A20" s="47"/>
      <c r="B20" s="50"/>
      <c r="C20" s="50"/>
      <c r="D20" s="23" t="s">
        <v>189</v>
      </c>
      <c r="E20" s="4">
        <v>0.15</v>
      </c>
      <c r="F20" s="23" t="s">
        <v>121</v>
      </c>
      <c r="G20" s="4" t="s">
        <v>119</v>
      </c>
      <c r="H20" s="4">
        <v>0.15</v>
      </c>
      <c r="I20" s="4"/>
      <c r="J20" s="4"/>
      <c r="K20" s="8"/>
    </row>
    <row r="21" spans="1:11" s="1" customFormat="1" ht="20.100000000000001" customHeight="1" x14ac:dyDescent="0.25">
      <c r="A21" s="47"/>
      <c r="B21" s="51" t="s">
        <v>2</v>
      </c>
      <c r="C21" s="51"/>
      <c r="D21" s="51"/>
      <c r="E21" s="51"/>
      <c r="F21" s="51"/>
      <c r="G21" s="51"/>
      <c r="H21" s="20">
        <f>SUM(H15:H20)</f>
        <v>1</v>
      </c>
      <c r="I21" s="4"/>
      <c r="J21" s="4"/>
      <c r="K21" s="8"/>
    </row>
    <row r="22" spans="1:11" s="1" customFormat="1" ht="21" customHeight="1" x14ac:dyDescent="0.25">
      <c r="A22" s="47" t="s">
        <v>18</v>
      </c>
      <c r="B22" s="52" t="s">
        <v>19</v>
      </c>
      <c r="C22" s="53"/>
      <c r="D22" s="54"/>
      <c r="E22" s="54"/>
      <c r="F22" s="54"/>
      <c r="G22" s="47" t="s">
        <v>20</v>
      </c>
      <c r="H22" s="47"/>
      <c r="I22" s="47"/>
      <c r="J22" s="47"/>
      <c r="K22" s="47"/>
    </row>
    <row r="23" spans="1:11" s="1" customFormat="1" ht="21" customHeight="1" x14ac:dyDescent="0.25">
      <c r="A23" s="47"/>
      <c r="B23" s="52"/>
      <c r="C23" s="54"/>
      <c r="D23" s="54"/>
      <c r="E23" s="54"/>
      <c r="F23" s="54"/>
      <c r="G23" s="47"/>
      <c r="H23" s="47"/>
      <c r="I23" s="47"/>
      <c r="J23" s="47"/>
      <c r="K23" s="47"/>
    </row>
    <row r="24" spans="1:11" s="1" customFormat="1" ht="3" customHeight="1" x14ac:dyDescent="0.25">
      <c r="A24" s="47"/>
      <c r="B24" s="52"/>
      <c r="C24" s="54"/>
      <c r="D24" s="54"/>
      <c r="E24" s="54"/>
      <c r="F24" s="54"/>
      <c r="G24" s="47"/>
      <c r="H24" s="47"/>
      <c r="I24" s="47"/>
      <c r="J24" s="47"/>
      <c r="K24" s="47"/>
    </row>
    <row r="25" spans="1:11" s="1" customFormat="1" ht="17.25" customHeight="1" x14ac:dyDescent="0.25">
      <c r="A25" s="47"/>
      <c r="B25" s="55" t="s">
        <v>92</v>
      </c>
      <c r="C25" s="54"/>
      <c r="D25" s="54"/>
      <c r="E25" s="54"/>
      <c r="F25" s="54"/>
      <c r="G25" s="47" t="s">
        <v>21</v>
      </c>
      <c r="H25" s="47"/>
      <c r="I25" s="47"/>
      <c r="J25" s="47"/>
      <c r="K25" s="47"/>
    </row>
    <row r="26" spans="1:11" s="1" customFormat="1" ht="17.25" customHeight="1" x14ac:dyDescent="0.25">
      <c r="A26" s="47"/>
      <c r="B26" s="52"/>
      <c r="C26" s="54"/>
      <c r="D26" s="54"/>
      <c r="E26" s="54"/>
      <c r="F26" s="54"/>
      <c r="G26" s="47"/>
      <c r="H26" s="47"/>
      <c r="I26" s="47"/>
      <c r="J26" s="47"/>
      <c r="K26" s="47"/>
    </row>
    <row r="27" spans="1:11" s="1" customFormat="1" ht="6.75" customHeight="1" x14ac:dyDescent="0.25">
      <c r="A27" s="47"/>
      <c r="B27" s="52"/>
      <c r="C27" s="54"/>
      <c r="D27" s="54"/>
      <c r="E27" s="54"/>
      <c r="F27" s="54"/>
      <c r="G27" s="47" t="s">
        <v>22</v>
      </c>
      <c r="H27" s="47"/>
      <c r="I27" s="47"/>
      <c r="J27" s="47"/>
      <c r="K27" s="47"/>
    </row>
    <row r="28" spans="1:11" s="1" customFormat="1" ht="17.25" customHeight="1" x14ac:dyDescent="0.25">
      <c r="A28" s="47"/>
      <c r="B28" s="52"/>
      <c r="C28" s="54"/>
      <c r="D28" s="54"/>
      <c r="E28" s="54"/>
      <c r="F28" s="54"/>
      <c r="G28" s="47"/>
      <c r="H28" s="47"/>
      <c r="I28" s="47"/>
      <c r="J28" s="47"/>
      <c r="K28" s="47"/>
    </row>
  </sheetData>
  <mergeCells count="27">
    <mergeCell ref="G25:G26"/>
    <mergeCell ref="H25:K26"/>
    <mergeCell ref="G27:G28"/>
    <mergeCell ref="A13:A21"/>
    <mergeCell ref="C14:K14"/>
    <mergeCell ref="B15:B18"/>
    <mergeCell ref="C15:C18"/>
    <mergeCell ref="B19:B20"/>
    <mergeCell ref="C19:C20"/>
    <mergeCell ref="B21:G21"/>
    <mergeCell ref="H27:K28"/>
    <mergeCell ref="A22:A28"/>
    <mergeCell ref="B22:B24"/>
    <mergeCell ref="C22:F24"/>
    <mergeCell ref="G22:G24"/>
    <mergeCell ref="H22:K24"/>
    <mergeCell ref="B25:B28"/>
    <mergeCell ref="C25:F28"/>
    <mergeCell ref="A1:K1"/>
    <mergeCell ref="A3:K3"/>
    <mergeCell ref="A4:A12"/>
    <mergeCell ref="C5:K5"/>
    <mergeCell ref="B6:B9"/>
    <mergeCell ref="C6:C9"/>
    <mergeCell ref="B12:G12"/>
    <mergeCell ref="B10:B11"/>
    <mergeCell ref="C10:C11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周永佳</vt:lpstr>
      <vt:lpstr>李智威</vt:lpstr>
      <vt:lpstr>肖澳</vt:lpstr>
      <vt:lpstr>王建峰</vt:lpstr>
      <vt:lpstr>曹一帆</vt:lpstr>
      <vt:lpstr>张海燕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刘源</dc:creator>
  <cp:lastModifiedBy>周永佳</cp:lastModifiedBy>
  <dcterms:created xsi:type="dcterms:W3CDTF">2006-09-16T00:00:00Z</dcterms:created>
  <dcterms:modified xsi:type="dcterms:W3CDTF">2025-07-01T01:59:42Z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3578793A0D604C0C97C373B9EDC0E1D8_12</vt:lpwstr>
  </property>
  <property fmtid="{D5CDD505-2E9C-101B-9397-08002B2CF9AE}" pid="3" name="KSOProductBuildVer">
    <vt:lpwstr>2052-12.1.0.16120</vt:lpwstr>
  </property>
</Properties>
</file>